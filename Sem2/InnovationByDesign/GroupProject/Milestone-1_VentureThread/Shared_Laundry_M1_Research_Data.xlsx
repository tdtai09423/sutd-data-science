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rvey Raw" sheetId="2" state="visible" r:id="rId4"/>
    <sheet name="Survey Summary" sheetId="3" state="visible" r:id="rId5"/>
    <sheet name="Slide Updates" sheetId="4" state="visible" r:id="rId6"/>
    <sheet name="Pending Evidence" sheetId="5" state="visible" r:id="rId7"/>
  </sheets>
  <definedNames>
    <definedName function="false" hidden="true" localSheetId="1" name="_xlnm._FilterDatabase" vbProcedure="false">'Survey Raw'!$A$4:$R$23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<sst xmlns="http://schemas.openxmlformats.org/spreadsheetml/2006/main" count="453" uniqueCount="234">
  <si>
    <t xml:space="preserve">Shared laundry – Milestone 1 research data</t>
  </si>
  <si>
    <t xml:space="preserve">Tenant survey (Tally form gDKWWN) · exported 2 Oct 2026 · prepared for slide updates</t>
  </si>
  <si>
    <t xml:space="preserve">Purpose</t>
  </si>
  <si>
    <t xml:space="preserve">All research data collected so far for the Milestone 1 pitch (Discover &amp; Define), plus which slide each number belongs to.</t>
  </si>
  <si>
    <t xml:space="preserve">Sheets</t>
  </si>
  <si>
    <t xml:space="preserve">Survey Raw: every response, anonymised · Survey Summary: counts and % calculated from the raw sheet (formulas) · Slide Updates: which slide gets which number · Pending Evidence: what is still missing</t>
  </si>
  <si>
    <t xml:space="preserve">Survey</t>
  </si>
  <si>
    <t xml:space="preserve">12 questions, ~3 minutes, built in Tally. Responses collected 1–2 Oct 2026 (UTC).</t>
  </si>
  <si>
    <t xml:space="preserve">Total responses</t>
  </si>
  <si>
    <t xml:space="preserve">19 completed</t>
  </si>
  <si>
    <t xml:space="preserve">Target group</t>
  </si>
  <si>
    <t xml:space="preserve">People who share one washer with 5 or more others. 15 responses (all chose 5–6; nobody chose 7+).</t>
  </si>
  <si>
    <t xml:space="preserve">Excluded / reference only</t>
  </si>
  <si>
    <t xml:space="preserve">1 response with 1–2 people per washer (screened out after Q3). 3 responses with 3–4 people answered the whole form because the screening rule did not fire; they are kept in the raw sheet but excluded from the target figures.</t>
  </si>
  <si>
    <t xml:space="preserve">Privacy</t>
  </si>
  <si>
    <t xml:space="preserve">Names, phone numbers and emails from Q12 are removed. Column 'Contact left' only shows whether a usable contact was given. Keep the original contacts inside the core team only.</t>
  </si>
  <si>
    <t xml:space="preserve">Caveats</t>
  </si>
  <si>
    <t xml:space="preserve">Small convenience sample (n = 15), mostly HDB room rentals (11) and condo rooms (4). Say 'n = 15' whenever a % is shown. Survey only: interview quotes and Round 2 follow-ups are not in this file yet.</t>
  </si>
  <si>
    <t xml:space="preserve">Price question wording</t>
  </si>
  <si>
    <t xml:space="preserve">'What is the most your household would pay in total, once, for something that shows if the washer is free and reminds people to collect their laundry?'</t>
  </si>
  <si>
    <t xml:space="preserve">Survey responses (anonymised)</t>
  </si>
  <si>
    <t xml:space="preserve">One row per response · Q7a–d and Q8 are 1–5 scores · 'In target' = shares one washer with 5+ people</t>
  </si>
  <si>
    <t xml:space="preserve">ID</t>
  </si>
  <si>
    <t xml:space="preserve">Submitted (UTC)</t>
  </si>
  <si>
    <t xml:space="preserve">In target?</t>
  </si>
  <si>
    <t xml:space="preserve">Q1 People sharing washer</t>
  </si>
  <si>
    <t xml:space="preserve">Q2 Where they live</t>
  </si>
  <si>
    <t xml:space="preserve">Q3 Laundry frequency</t>
  </si>
  <si>
    <t xml:space="preserve">Q4 Washer busy (past month)</t>
  </si>
  <si>
    <t xml:space="preserve">Q5 Others' laundry left (past month)</t>
  </si>
  <si>
    <t xml:space="preserve">Q6 Own laundry left &gt;30 min (past month)</t>
  </si>
  <si>
    <t xml:space="preserve">Q7a Annoyance: washer busy</t>
  </si>
  <si>
    <t xml:space="preserve">Q7b Annoyance: others' laundry left</t>
  </si>
  <si>
    <t xml:space="preserve">Q7c Annoyance: whose load</t>
  </si>
  <si>
    <t xml:space="preserve">Q7d Annoyance: forget own</t>
  </si>
  <si>
    <t xml:space="preserve">Q8 Current way works (1–5)</t>
  </si>
  <si>
    <t xml:space="preserve">Q9 Workarounds today</t>
  </si>
  <si>
    <t xml:space="preserve">Q10 Messaging app</t>
  </si>
  <si>
    <t xml:space="preserve">Q11 Max household pay (once)</t>
  </si>
  <si>
    <t xml:space="preserve">Contact left for follow-up?</t>
  </si>
  <si>
    <t xml:space="preserve">R01</t>
  </si>
  <si>
    <t xml:space="preserve">2026-10-01 02:21</t>
  </si>
  <si>
    <t xml:space="preserve">5–6</t>
  </si>
  <si>
    <t xml:space="preserve">Room in an HDB flat</t>
  </si>
  <si>
    <t xml:space="preserve">2–3 times a week</t>
  </si>
  <si>
    <t xml:space="preserve">3–5 times</t>
  </si>
  <si>
    <t xml:space="preserve">1–2 times</t>
  </si>
  <si>
    <t xml:space="preserve">Walk over and check; Ask in a group chat; Set a phone timer</t>
  </si>
  <si>
    <t xml:space="preserve">WhatsApp</t>
  </si>
  <si>
    <t xml:space="preserve">S$11–30</t>
  </si>
  <si>
    <t xml:space="preserve">No</t>
  </si>
  <si>
    <t xml:space="preserve">R02</t>
  </si>
  <si>
    <t xml:space="preserve">2026-10-01 02:26</t>
  </si>
  <si>
    <t xml:space="preserve">More than 5 times</t>
  </si>
  <si>
    <t xml:space="preserve">Walk over and check; Ask in a group chat</t>
  </si>
  <si>
    <t xml:space="preserve">R03</t>
  </si>
  <si>
    <t xml:space="preserve">Nothing; Walk over and check</t>
  </si>
  <si>
    <t xml:space="preserve">Yes</t>
  </si>
  <si>
    <t xml:space="preserve">R04</t>
  </si>
  <si>
    <t xml:space="preserve">2026-10-01 02:30</t>
  </si>
  <si>
    <t xml:space="preserve">Walk over and check; Other: move their laundry to the dryer / put it on top of the dryer</t>
  </si>
  <si>
    <t xml:space="preserve">Up to S$10</t>
  </si>
  <si>
    <t xml:space="preserve">R05</t>
  </si>
  <si>
    <t xml:space="preserve">2026-10-01 02:31</t>
  </si>
  <si>
    <t xml:space="preserve">3–4</t>
  </si>
  <si>
    <t xml:space="preserve">Other</t>
  </si>
  <si>
    <t xml:space="preserve">4+ times a week</t>
  </si>
  <si>
    <t xml:space="preserve">Never</t>
  </si>
  <si>
    <t xml:space="preserve">Nothing</t>
  </si>
  <si>
    <t xml:space="preserve">S$0</t>
  </si>
  <si>
    <t xml:space="preserve">R06</t>
  </si>
  <si>
    <t xml:space="preserve">2026-10-01 02:39</t>
  </si>
  <si>
    <t xml:space="preserve">Walk over and check</t>
  </si>
  <si>
    <t xml:space="preserve">R07</t>
  </si>
  <si>
    <t xml:space="preserve">Laundry schedule; Set a phone timer</t>
  </si>
  <si>
    <t xml:space="preserve">S$31–50</t>
  </si>
  <si>
    <t xml:space="preserve">R08</t>
  </si>
  <si>
    <t xml:space="preserve">2026-10-01 02:51</t>
  </si>
  <si>
    <t xml:space="preserve">Room in a condo</t>
  </si>
  <si>
    <t xml:space="preserve">R09</t>
  </si>
  <si>
    <t xml:space="preserve">2026-10-01 02:55</t>
  </si>
  <si>
    <t xml:space="preserve">Ask in a group chat; Set a phone timer; Walk over and check; Laundry schedule</t>
  </si>
  <si>
    <t xml:space="preserve">R10</t>
  </si>
  <si>
    <t xml:space="preserve">2026-10-01 03:18</t>
  </si>
  <si>
    <t xml:space="preserve">Ask in a group chat; Walk over and check</t>
  </si>
  <si>
    <t xml:space="preserve">R11</t>
  </si>
  <si>
    <t xml:space="preserve">2026-10-01 06:16</t>
  </si>
  <si>
    <t xml:space="preserve">Set a phone timer; Ask in a group chat</t>
  </si>
  <si>
    <t xml:space="preserve">R12</t>
  </si>
  <si>
    <t xml:space="preserve">2026-10-01 06:34</t>
  </si>
  <si>
    <t xml:space="preserve">R13</t>
  </si>
  <si>
    <t xml:space="preserve">2026-10-01 06:39</t>
  </si>
  <si>
    <t xml:space="preserve">R14</t>
  </si>
  <si>
    <t xml:space="preserve">2026-10-01 09:50</t>
  </si>
  <si>
    <t xml:space="preserve">R15</t>
  </si>
  <si>
    <t xml:space="preserve">2026-10-01 12:48</t>
  </si>
  <si>
    <t xml:space="preserve">1–2</t>
  </si>
  <si>
    <t xml:space="preserve">R16</t>
  </si>
  <si>
    <t xml:space="preserve">2026-10-01 12:50</t>
  </si>
  <si>
    <t xml:space="preserve">Student hostel</t>
  </si>
  <si>
    <t xml:space="preserve">Once a week</t>
  </si>
  <si>
    <t xml:space="preserve">R17</t>
  </si>
  <si>
    <t xml:space="preserve">2026-10-01 12:52</t>
  </si>
  <si>
    <t xml:space="preserve">Co-living</t>
  </si>
  <si>
    <t xml:space="preserve">R18</t>
  </si>
  <si>
    <t xml:space="preserve">2026-10-01 12:55</t>
  </si>
  <si>
    <t xml:space="preserve">Ask in a group chat; Set a phone timer</t>
  </si>
  <si>
    <t xml:space="preserve">R19</t>
  </si>
  <si>
    <t xml:space="preserve">2026-10-02 02:03</t>
  </si>
  <si>
    <t xml:space="preserve">Laundry schedule</t>
  </si>
  <si>
    <t xml:space="preserve">Survey summary – target group (5+ people per washer)</t>
  </si>
  <si>
    <t xml:space="preserve">All numbers are formulas on 'Survey Raw' filtered by In target = Yes</t>
  </si>
  <si>
    <t xml:space="preserve">Target respondents (n)</t>
  </si>
  <si>
    <t xml:space="preserve">Count</t>
  </si>
  <si>
    <t xml:space="preserve">% of n</t>
  </si>
  <si>
    <t xml:space="preserve">Q4 Washer busy when needed (past month)</t>
  </si>
  <si>
    <t xml:space="preserve">Q5 Found others' finished laundry left (past month)</t>
  </si>
  <si>
    <t xml:space="preserve">Q6 Left own laundry &gt;30 min (past month)</t>
  </si>
  <si>
    <t xml:space="preserve">Key rates (target group)</t>
  </si>
  <si>
    <t xml:space="preserve">Washer busy at least once</t>
  </si>
  <si>
    <t xml:space="preserve">Washer busy 3+ times</t>
  </si>
  <si>
    <t xml:space="preserve">Others' laundry left at least once</t>
  </si>
  <si>
    <t xml:space="preserve">Others' laundry left 3+ times</t>
  </si>
  <si>
    <t xml:space="preserve">Left own laundry at least once</t>
  </si>
  <si>
    <t xml:space="preserve">Left own laundry 3+ times</t>
  </si>
  <si>
    <t xml:space="preserve">Q7 Annoyance (1–5)</t>
  </si>
  <si>
    <t xml:space="preserve">Average</t>
  </si>
  <si>
    <t xml:space="preserve">Count 4–5</t>
  </si>
  <si>
    <t xml:space="preserve">% 4–5</t>
  </si>
  <si>
    <t xml:space="preserve">Washer busy when I need it</t>
  </si>
  <si>
    <t xml:space="preserve">Someone's finished laundry left</t>
  </si>
  <si>
    <t xml:space="preserve">Don't know whose laundry it is</t>
  </si>
  <si>
    <t xml:space="preserve">I forget my own laundry</t>
  </si>
  <si>
    <t xml:space="preserve">Q8 Current way works (1 = very badly, 5 = very well)</t>
  </si>
  <si>
    <t xml:space="preserve">← count/% scoring 3 or less</t>
  </si>
  <si>
    <t xml:space="preserve">Q9 Workarounds (multi-select)</t>
  </si>
  <si>
    <t xml:space="preserve">Ask in a group chat</t>
  </si>
  <si>
    <t xml:space="preserve">Set a phone timer</t>
  </si>
  <si>
    <t xml:space="preserve">Note on the machine</t>
  </si>
  <si>
    <t xml:space="preserve">Telegram</t>
  </si>
  <si>
    <t xml:space="preserve">Q11 Max household pay, once</t>
  </si>
  <si>
    <t xml:space="preserve">More than S$50</t>
  </si>
  <si>
    <t xml:space="preserve">Usable contacts for Round 2</t>
  </si>
  <si>
    <t xml:space="preserve">Reference: all respondents incl. 3–4 group (n)</t>
  </si>
  <si>
    <t xml:space="preserve">Where each finding goes in the pitch deck</t>
  </si>
  <si>
    <t xml:space="preserve">Slide numbers follow the current 22-slide deck · Status: 'Update to n=15' = on the slide with n=14 figures, replace with this value, Pending = needs interview data</t>
  </si>
  <si>
    <t xml:space="preserve">Slide</t>
  </si>
  <si>
    <t xml:space="preserve">Slide title</t>
  </si>
  <si>
    <t xml:space="preserve">Field / box</t>
  </si>
  <si>
    <t xml:space="preserve">Value to show</t>
  </si>
  <si>
    <t xml:space="preserve">Source</t>
  </si>
  <si>
    <t xml:space="preserve">Status</t>
  </si>
  <si>
    <t xml:space="preserve">Three common pains, and how people cope today</t>
  </si>
  <si>
    <t xml:space="preserve">Evidence – washer busy</t>
  </si>
  <si>
    <t xml:space="preserve">15/15 hit it last month · 47% 3+ times · 60% rate it 4–5 of 5</t>
  </si>
  <si>
    <t xml:space="preserve">Survey Summary</t>
  </si>
  <si>
    <t xml:space="preserve">Update to n=15</t>
  </si>
  <si>
    <t xml:space="preserve">Evidence – others' laundry left</t>
  </si>
  <si>
    <t xml:space="preserve">15/15 found it · 60% 3+ times a month</t>
  </si>
  <si>
    <t xml:space="preserve">Evidence – whose load</t>
  </si>
  <si>
    <t xml:space="preserve">40% rate it 4–5 of 5 + one interview quote</t>
  </si>
  <si>
    <t xml:space="preserve">Survey + interviews</t>
  </si>
  <si>
    <t xml:space="preserve">Pending quote</t>
  </si>
  <si>
    <t xml:space="preserve">Footer – workarounds</t>
  </si>
  <si>
    <t xml:space="preserve">Walk over 67% · group chat 53% · phone timer 40%</t>
  </si>
  <si>
    <t xml:space="preserve">Final HMW</t>
  </si>
  <si>
    <t xml:space="preserve">Why it matters</t>
  </si>
  <si>
    <t xml:space="preserve">All 15 found the washer busy last month (47% 3+ times); 60% find others' finished load left 3+ times a month</t>
  </si>
  <si>
    <t xml:space="preserve">Opportunity</t>
  </si>
  <si>
    <t xml:space="preserve">One sourced figure on room rentals / co-living in Singapore</t>
  </si>
  <si>
    <t xml:space="preserve">Desk research</t>
  </si>
  <si>
    <t xml:space="preserve">Pending</t>
  </si>
  <si>
    <t xml:space="preserve">Who we engaged</t>
  </si>
  <si>
    <t xml:space="preserve">Primary users</t>
  </si>
  <si>
    <t xml:space="preserve">15 survey + [n] interviews · Busy machine most annoying, left laundry most frequent</t>
  </si>
  <si>
    <t xml:space="preserve">Partly</t>
  </si>
  <si>
    <t xml:space="preserve">Lead users, buyers, operators, non-adopters</t>
  </si>
  <si>
    <t xml:space="preserve"># people and key takeaway per group</t>
  </si>
  <si>
    <t xml:space="preserve">Interviews</t>
  </si>
  <si>
    <t xml:space="preserve">Three insights</t>
  </si>
  <si>
    <t xml:space="preserve">Insight cards + quotes</t>
  </si>
  <si>
    <t xml:space="preserve">Insight statements (needs… BUT… because) with verbatim quotes</t>
  </si>
  <si>
    <t xml:space="preserve">We went back to the same people</t>
  </si>
  <si>
    <t xml:space="preserve">Before → after, row 1</t>
  </si>
  <si>
    <t xml:space="preserve">Assumed tenants would pay → 10/15 would pay S$10 or less, 6 nothing → test landlord as first buyer</t>
  </si>
  <si>
    <t xml:space="preserve">Rounds timeline, row 2, pivot</t>
  </si>
  <si>
    <t xml:space="preserve">Round 1 and Round 2 dates, revisited participants, one pivot quote</t>
  </si>
  <si>
    <t xml:space="preserve">Benchmark</t>
  </si>
  <si>
    <t xml:space="preserve">Non-consumption row</t>
  </si>
  <si>
    <t xml:space="preserve">Manual workarounds: walk over / chat / timer with the % above</t>
  </si>
  <si>
    <t xml:space="preserve">To add</t>
  </si>
  <si>
    <t xml:space="preserve">What users need, ranked</t>
  </si>
  <si>
    <t xml:space="preserve">Ranking + channel + price</t>
  </si>
  <si>
    <t xml:space="preserve">Rank by annoyance; WhatsApp 10 of 15; 10 of 15 pay S$10 or less</t>
  </si>
  <si>
    <t xml:space="preserve">Who feels it first</t>
  </si>
  <si>
    <t xml:space="preserve">Users card</t>
  </si>
  <si>
    <t xml:space="preserve">All 15 surveyed hit a busy machine last month</t>
  </si>
  <si>
    <t xml:space="preserve">Willingness to pay</t>
  </si>
  <si>
    <t xml:space="preserve">Who pays + test step 2</t>
  </si>
  <si>
    <t xml:space="preserve">Tenant price split: 40% S$0 · 27% up to S$10 · 33% S$11+</t>
  </si>
  <si>
    <t xml:space="preserve">Price hypothesis, anchors, BOM</t>
  </si>
  <si>
    <t xml:space="preserve">Landlord answer, smart plug price, bill of materials</t>
  </si>
  <si>
    <t xml:space="preserve">Interview + desk research</t>
  </si>
  <si>
    <t xml:space="preserve">Evidence still missing before the pitch</t>
  </si>
  <si>
    <t xml:space="preserve">Fill the yellow cells as data comes in</t>
  </si>
  <si>
    <t xml:space="preserve">#</t>
  </si>
  <si>
    <t xml:space="preserve">What</t>
  </si>
  <si>
    <t xml:space="preserve">Needed for</t>
  </si>
  <si>
    <t xml:space="preserve">Method</t>
  </si>
  <si>
    <t xml:space="preserve">Notes</t>
  </si>
  <si>
    <t xml:space="preserve">Tenant interviews (Round 1), with quotes</t>
  </si>
  <si>
    <t xml:space="preserve">Insights, engagement table, HMW evidence</t>
  </si>
  <si>
    <t xml:space="preserve">Interview guide Part A</t>
  </si>
  <si>
    <t xml:space="preserve">Landlord / master tenant interview(s)</t>
  </si>
  <si>
    <t xml:space="preserve">Buyer, WTP, segment</t>
  </si>
  <si>
    <t xml:space="preserve">Interview guide Part B</t>
  </si>
  <si>
    <t xml:space="preserve">Test landlord as first buyer</t>
  </si>
  <si>
    <t xml:space="preserve">Round 2 follow-ups with the 4 survey contacts and interviewees</t>
  </si>
  <si>
    <t xml:space="preserve">Repeated engagement, pivot</t>
  </si>
  <si>
    <t xml:space="preserve">Interview guide Round 2</t>
  </si>
  <si>
    <t xml:space="preserve">Contacts held by core team only</t>
  </si>
  <si>
    <t xml:space="preserve">AEIOU observation of a shared washer (photos)</t>
  </si>
  <si>
    <t xml:space="preserve">AEIOU slide</t>
  </si>
  <si>
    <t xml:space="preserve">On-site observation</t>
  </si>
  <si>
    <t xml:space="preserve">Sourced figure on room rentals / co-living in Singapore</t>
  </si>
  <si>
    <t xml:space="preserve">Final HMW – opportunity</t>
  </si>
  <si>
    <t xml:space="preserve">Benchmark values for each alternative (price, time, effort)</t>
  </si>
  <si>
    <t xml:space="preserve">Benchmark, perceptual map, strategy canvas</t>
  </si>
  <si>
    <t xml:space="preserve">Desk research + survey</t>
  </si>
  <si>
    <t xml:space="preserve">Bill of materials and smart plug price</t>
  </si>
  <si>
    <t xml:space="preserve">WTP anchors</t>
  </si>
  <si>
    <t xml:space="preserve">Check Tally screening rule (3–4 respondents passed it)</t>
  </si>
  <si>
    <t xml:space="preserve">Clean data</t>
  </si>
  <si>
    <t xml:space="preserve">Tally settings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</si>
</sst>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rating each pain 4–5 of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'Survey Summary'!D39</c:f>
              <c:strCache>
                <c:ptCount val="1"/>
                <c:pt idx="0">
                  <c:v>% 4–5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'Survey Summary'!$A$40:$A$43</c:f>
              <c:strCache>
                <c:ptCount val="4"/>
                <c:pt idx="0">
                  <c:v>Washer busy when I need it</c:v>
                </c:pt>
                <c:pt idx="1">
                  <c:v>Someone's finished laundry left</c:v>
                </c:pt>
                <c:pt idx="2">
                  <c:v>Don't know whose laundry it is</c:v>
                </c:pt>
                <c:pt idx="3">
                  <c:v>I forget my own laundry</c:v>
                </c:pt>
              </c:strCache>
            </c:strRef>
          </c:cat>
          <c:val>
            <c:numRef>
              <c:f>'Survey Summary'!$D$40:$D$43</c:f>
              <c:numCache>
                <c:formatCode>0%</c:formatCode>
                <c:ptCount val="4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</c:numCache>
            </c:numRef>
          </c:val>
        </c:ser>
        <c:gapWidth val="150"/>
        <c:overlap val="0"/>
        <c:axId val="50985814"/>
        <c:axId val="15872256"/>
      </c:barChart>
      <c:catAx>
        <c:axId val="50985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72256"/>
        <c:crosses val="autoZero"/>
        <c:auto val="1"/>
        <c:lblAlgn val="ctr"/>
        <c:lblOffset val="100"/>
        <c:noMultiLvlLbl val="0"/>
      </c:catAx>
      <c:valAx>
        <c:axId val="15872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target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85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Workarounds used today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'Survey Summary'!C46</c:f>
              <c:strCache>
                <c:ptCount val="1"/>
                <c:pt idx="0">
                  <c:v>% of 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'Survey Summary'!$A$47:$A$53</c:f>
              <c:strCache>
                <c:ptCount val="7"/>
                <c:pt idx="0">
                  <c:v>Walk over and check</c:v>
                </c:pt>
                <c:pt idx="1">
                  <c:v>Ask in a group chat</c:v>
                </c:pt>
                <c:pt idx="2">
                  <c:v>Set a phone timer</c:v>
                </c:pt>
                <c:pt idx="3">
                  <c:v>Laundry schedule</c:v>
                </c:pt>
                <c:pt idx="4">
                  <c:v>Note on the machine</c:v>
                </c:pt>
                <c:pt idx="5">
                  <c:v>Nothing</c:v>
                </c:pt>
                <c:pt idx="6">
                  <c:v>Other</c:v>
                </c:pt>
              </c:strCache>
            </c:strRef>
          </c:cat>
          <c:val>
            <c:numRef>
              <c:f>'Survey Summary'!$C$47:$C$53</c:f>
              <c:numCache>
                <c:formatCode>0%</c:formatCode>
                <c:ptCount val="7"/>
                <c:pt idx="0">
                  <c:v>0.666666666666667</c:v>
                </c:pt>
                <c:pt idx="1">
                  <c:v>0.533333333333333</c:v>
                </c:pt>
                <c:pt idx="2">
                  <c:v>0.4</c:v>
                </c:pt>
                <c:pt idx="3">
                  <c:v>0.2</c:v>
                </c:pt>
                <c:pt idx="4">
                  <c:v>0</c:v>
                </c:pt>
                <c:pt idx="5">
                  <c:v>0.133333333333333</c:v>
                </c:pt>
                <c:pt idx="6">
                  <c:v>0.0666666666666667</c:v>
                </c:pt>
              </c:numCache>
            </c:numRef>
          </c:val>
        </c:ser>
        <c:gapWidth val="150"/>
        <c:overlap val="0"/>
        <c:axId val="23779669"/>
        <c:axId val="37881623"/>
      </c:barChart>
      <c:catAx>
        <c:axId val="237796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81623"/>
        <c:crosses val="autoZero"/>
        <c:auto val="1"/>
        <c:lblAlgn val="ctr"/>
        <c:lblOffset val="100"/>
        <c:noMultiLvlLbl val="0"/>
      </c:catAx>
      <c:valAx>
        <c:axId val="37881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target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79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 household would pay (once)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'Survey Summary'!C60</c:f>
              <c:strCache>
                <c:ptCount val="1"/>
                <c:pt idx="0">
                  <c:v>% of 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'Survey Summary'!$A$61:$A$65</c:f>
              <c:strCache>
                <c:ptCount val="5"/>
                <c:pt idx="0">
                  <c:v>S$0</c:v>
                </c:pt>
                <c:pt idx="1">
                  <c:v>Up to S$10</c:v>
                </c:pt>
                <c:pt idx="2">
                  <c:v>S$11–30</c:v>
                </c:pt>
                <c:pt idx="3">
                  <c:v>S$31–50</c:v>
                </c:pt>
                <c:pt idx="4">
                  <c:v>More than S$50</c:v>
                </c:pt>
              </c:strCache>
            </c:strRef>
          </c:cat>
          <c:val>
            <c:numRef>
              <c:f>'Survey Summary'!$C$61:$C$65</c:f>
              <c:numCache>
                <c:formatCode>0%</c:formatCode>
                <c:ptCount val="5"/>
                <c:pt idx="0">
                  <c:v>0.4</c:v>
                </c:pt>
                <c:pt idx="1">
                  <c:v>0.266666666666667</c:v>
                </c:pt>
                <c:pt idx="2">
                  <c:v>0.266666666666667</c:v>
                </c:pt>
                <c:pt idx="3">
                  <c:v>0.0666666666666667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0893544"/>
        <c:axId val="34472285"/>
      </c:barChart>
      <c:catAx>
        <c:axId val="108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72285"/>
        <c:crosses val="autoZero"/>
        <c:auto val="1"/>
        <c:lblAlgn val="ctr"/>
        <c:lblOffset val="100"/>
        <c:noMultiLvlLbl val="0"/>
      </c:catAx>
      <c:valAx>
        <c:axId val="34472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target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3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160560</xdr:rowOff>
    </xdr:from>
    <xdr:to>
      <xdr:col>15</xdr:col>
      <xdr:colOff>255960</xdr:colOff>
      <xdr:row>18</xdr:row>
      <xdr:rowOff>13320</xdr:rowOff>
    </xdr:to>
    <xdr:graphicFrame>
      <xdr:nvGraphicFramePr>
        <xdr:cNvPr id="0" name="Chart 1"/>
        <xdr:cNvGraphicFramePr/>
      </xdr:nvGraphicFramePr>
      <xdr:xfrm>
        <a:off x="7518960" y="952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160920</xdr:rowOff>
    </xdr:from>
    <xdr:to>
      <xdr:col>15</xdr:col>
      <xdr:colOff>255960</xdr:colOff>
      <xdr:row>34</xdr:row>
      <xdr:rowOff>13320</xdr:rowOff>
    </xdr:to>
    <xdr:graphicFrame>
      <xdr:nvGraphicFramePr>
        <xdr:cNvPr id="1" name="Chart 2"/>
        <xdr:cNvGraphicFramePr/>
      </xdr:nvGraphicFramePr>
      <xdr:xfrm>
        <a:off x="7518960" y="4000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160560</xdr:rowOff>
    </xdr:from>
    <xdr:to>
      <xdr:col>15</xdr:col>
      <xdr:colOff>255960</xdr:colOff>
      <xdr:row>48</xdr:row>
      <xdr:rowOff>139680</xdr:rowOff>
    </xdr:to>
    <xdr:graphicFrame>
      <xdr:nvGraphicFramePr>
        <xdr:cNvPr id="2" name="Chart 3"/>
        <xdr:cNvGraphicFramePr/>
      </xdr:nvGraphicFramePr>
      <xdr:xfrm>
        <a:off x="7518960" y="7048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  <row r="12" customFormat="false" ht="43.5" hidden="false" customHeight="tru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4" min="10" style="0" width="11"/>
    <col collapsed="false" customWidth="true" hidden="false" outlineLevel="0" max="15" min="15" style="0" width="40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42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39</v>
      </c>
    </row>
    <row r="5" customFormat="false" ht="23.85" hidden="false" customHeight="false" outlineLevel="0" collapsed="false">
      <c r="A5" s="6" t="s">
        <v>40</v>
      </c>
      <c r="B5" s="6" t="s">
        <v>41</v>
      </c>
      <c r="C5" s="6" t="str">
        <f aca="false">IF(D5="5–6","Yes",IF(D5="7 or more","Yes","No"))</f>
        <v>Yes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45</v>
      </c>
      <c r="J5" s="6" t="n">
        <v>5</v>
      </c>
      <c r="K5" s="6" t="n">
        <v>5</v>
      </c>
      <c r="L5" s="6" t="n">
        <v>5</v>
      </c>
      <c r="M5" s="6" t="n">
        <v>2</v>
      </c>
      <c r="N5" s="6" t="n">
        <v>2</v>
      </c>
      <c r="O5" s="4" t="s">
        <v>47</v>
      </c>
      <c r="P5" s="6" t="s">
        <v>48</v>
      </c>
      <c r="Q5" s="6" t="s">
        <v>49</v>
      </c>
      <c r="R5" s="6" t="s">
        <v>50</v>
      </c>
    </row>
    <row r="6" customFormat="false" ht="23.85" hidden="false" customHeight="false" outlineLevel="0" collapsed="false">
      <c r="A6" s="6" t="s">
        <v>51</v>
      </c>
      <c r="B6" s="6" t="s">
        <v>52</v>
      </c>
      <c r="C6" s="6" t="str">
        <f aca="false">IF(D6="5–6","Yes",IF(D6="7 or more","Yes","No"))</f>
        <v>Yes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53</v>
      </c>
      <c r="I6" s="6" t="s">
        <v>46</v>
      </c>
      <c r="J6" s="6" t="n">
        <v>4</v>
      </c>
      <c r="K6" s="6" t="n">
        <v>5</v>
      </c>
      <c r="L6" s="6" t="n">
        <v>4</v>
      </c>
      <c r="M6" s="6" t="n">
        <v>2</v>
      </c>
      <c r="N6" s="6" t="n">
        <v>3</v>
      </c>
      <c r="O6" s="4" t="s">
        <v>54</v>
      </c>
      <c r="P6" s="6" t="s">
        <v>48</v>
      </c>
      <c r="Q6" s="6" t="s">
        <v>49</v>
      </c>
      <c r="R6" s="6" t="s">
        <v>50</v>
      </c>
    </row>
    <row r="7" customFormat="false" ht="15" hidden="false" customHeight="false" outlineLevel="0" collapsed="false">
      <c r="A7" s="6" t="s">
        <v>55</v>
      </c>
      <c r="B7" s="6" t="s">
        <v>52</v>
      </c>
      <c r="C7" s="6" t="str">
        <f aca="false">IF(D7="5–6","Yes",IF(D7="7 or more","Yes","No"))</f>
        <v>Yes</v>
      </c>
      <c r="D7" s="6" t="s">
        <v>42</v>
      </c>
      <c r="E7" s="6" t="s">
        <v>43</v>
      </c>
      <c r="F7" s="6" t="s">
        <v>44</v>
      </c>
      <c r="G7" s="6" t="s">
        <v>46</v>
      </c>
      <c r="H7" s="6" t="s">
        <v>45</v>
      </c>
      <c r="I7" s="6" t="s">
        <v>45</v>
      </c>
      <c r="J7" s="6" t="n">
        <v>4</v>
      </c>
      <c r="K7" s="6" t="n">
        <v>1</v>
      </c>
      <c r="L7" s="6" t="n">
        <v>1</v>
      </c>
      <c r="M7" s="6" t="n">
        <v>4</v>
      </c>
      <c r="N7" s="6" t="n">
        <v>4</v>
      </c>
      <c r="O7" s="4" t="s">
        <v>56</v>
      </c>
      <c r="P7" s="6" t="s">
        <v>48</v>
      </c>
      <c r="Q7" s="6" t="s">
        <v>49</v>
      </c>
      <c r="R7" s="6" t="s">
        <v>57</v>
      </c>
    </row>
    <row r="8" customFormat="false" ht="23.85" hidden="false" customHeight="false" outlineLevel="0" collapsed="false">
      <c r="A8" s="6" t="s">
        <v>58</v>
      </c>
      <c r="B8" s="6" t="s">
        <v>59</v>
      </c>
      <c r="C8" s="6" t="str">
        <f aca="false">IF(D8="5–6","Yes",IF(D8="7 or more","Yes","No"))</f>
        <v>Yes</v>
      </c>
      <c r="D8" s="6" t="s">
        <v>42</v>
      </c>
      <c r="E8" s="6" t="s">
        <v>43</v>
      </c>
      <c r="F8" s="6" t="s">
        <v>44</v>
      </c>
      <c r="G8" s="6" t="s">
        <v>46</v>
      </c>
      <c r="H8" s="6" t="s">
        <v>46</v>
      </c>
      <c r="I8" s="6" t="s">
        <v>46</v>
      </c>
      <c r="J8" s="6" t="n">
        <v>4</v>
      </c>
      <c r="K8" s="6" t="n">
        <v>3</v>
      </c>
      <c r="L8" s="6" t="n">
        <v>3</v>
      </c>
      <c r="M8" s="6" t="n">
        <v>4</v>
      </c>
      <c r="N8" s="6" t="n">
        <v>4</v>
      </c>
      <c r="O8" s="4" t="s">
        <v>60</v>
      </c>
      <c r="P8" s="6" t="s">
        <v>48</v>
      </c>
      <c r="Q8" s="6" t="s">
        <v>61</v>
      </c>
      <c r="R8" s="6" t="s">
        <v>57</v>
      </c>
    </row>
    <row r="9" customFormat="false" ht="23.85" hidden="false" customHeight="false" outlineLevel="0" collapsed="false">
      <c r="A9" s="6" t="s">
        <v>62</v>
      </c>
      <c r="B9" s="6" t="s">
        <v>63</v>
      </c>
      <c r="C9" s="6" t="str">
        <f aca="false">IF(D9="5–6","Yes",IF(D9="7 or more","Yes","No"))</f>
        <v>No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67</v>
      </c>
      <c r="I9" s="6" t="s">
        <v>53</v>
      </c>
      <c r="J9" s="6" t="n">
        <v>3</v>
      </c>
      <c r="K9" s="6" t="n">
        <v>3</v>
      </c>
      <c r="L9" s="6" t="n">
        <v>3</v>
      </c>
      <c r="M9" s="6" t="n">
        <v>2</v>
      </c>
      <c r="N9" s="6" t="n">
        <v>3</v>
      </c>
      <c r="O9" s="4" t="s">
        <v>68</v>
      </c>
      <c r="P9" s="6" t="s">
        <v>48</v>
      </c>
      <c r="Q9" s="6" t="s">
        <v>69</v>
      </c>
      <c r="R9" s="6" t="s">
        <v>50</v>
      </c>
    </row>
    <row r="10" customFormat="false" ht="15" hidden="false" customHeight="false" outlineLevel="0" collapsed="false">
      <c r="A10" s="6" t="s">
        <v>70</v>
      </c>
      <c r="B10" s="6" t="s">
        <v>71</v>
      </c>
      <c r="C10" s="6" t="str">
        <f aca="false">IF(D10="5–6","Yes",IF(D10="7 or more","Yes","No"))</f>
        <v>Yes</v>
      </c>
      <c r="D10" s="6" t="s">
        <v>42</v>
      </c>
      <c r="E10" s="6" t="s">
        <v>43</v>
      </c>
      <c r="F10" s="6" t="s">
        <v>44</v>
      </c>
      <c r="G10" s="6" t="s">
        <v>46</v>
      </c>
      <c r="H10" s="6" t="s">
        <v>45</v>
      </c>
      <c r="I10" s="6" t="s">
        <v>46</v>
      </c>
      <c r="J10" s="6" t="n">
        <v>4</v>
      </c>
      <c r="K10" s="6" t="n">
        <v>1</v>
      </c>
      <c r="L10" s="6" t="n">
        <v>3</v>
      </c>
      <c r="M10" s="6" t="n">
        <v>4</v>
      </c>
      <c r="N10" s="6" t="n">
        <v>4</v>
      </c>
      <c r="O10" s="4" t="s">
        <v>72</v>
      </c>
      <c r="P10" s="6" t="s">
        <v>65</v>
      </c>
      <c r="Q10" s="6" t="s">
        <v>61</v>
      </c>
      <c r="R10" s="6" t="s">
        <v>50</v>
      </c>
    </row>
    <row r="11" customFormat="false" ht="15" hidden="false" customHeight="false" outlineLevel="0" collapsed="false">
      <c r="A11" s="6" t="s">
        <v>73</v>
      </c>
      <c r="B11" s="6" t="s">
        <v>71</v>
      </c>
      <c r="C11" s="6" t="str">
        <f aca="false">IF(D11="5–6","Yes",IF(D11="7 or more","Yes","No"))</f>
        <v>Yes</v>
      </c>
      <c r="D11" s="6" t="s">
        <v>42</v>
      </c>
      <c r="E11" s="6" t="s">
        <v>43</v>
      </c>
      <c r="F11" s="6" t="s">
        <v>44</v>
      </c>
      <c r="G11" s="6" t="s">
        <v>46</v>
      </c>
      <c r="H11" s="6" t="s">
        <v>46</v>
      </c>
      <c r="I11" s="6" t="s">
        <v>67</v>
      </c>
      <c r="J11" s="6" t="n">
        <v>2</v>
      </c>
      <c r="K11" s="6" t="n">
        <v>2</v>
      </c>
      <c r="L11" s="6" t="n">
        <v>2</v>
      </c>
      <c r="M11" s="6" t="n">
        <v>2</v>
      </c>
      <c r="N11" s="6" t="n">
        <v>4</v>
      </c>
      <c r="O11" s="4" t="s">
        <v>74</v>
      </c>
      <c r="P11" s="6" t="s">
        <v>48</v>
      </c>
      <c r="Q11" s="6" t="s">
        <v>75</v>
      </c>
      <c r="R11" s="6" t="s">
        <v>50</v>
      </c>
    </row>
    <row r="12" customFormat="false" ht="23.85" hidden="false" customHeight="false" outlineLevel="0" collapsed="false">
      <c r="A12" s="6" t="s">
        <v>76</v>
      </c>
      <c r="B12" s="6" t="s">
        <v>77</v>
      </c>
      <c r="C12" s="6" t="str">
        <f aca="false">IF(D12="5–6","Yes",IF(D12="7 or more","Yes","No"))</f>
        <v>Yes</v>
      </c>
      <c r="D12" s="6" t="s">
        <v>42</v>
      </c>
      <c r="E12" s="6" t="s">
        <v>78</v>
      </c>
      <c r="F12" s="6" t="s">
        <v>44</v>
      </c>
      <c r="G12" s="6" t="s">
        <v>53</v>
      </c>
      <c r="H12" s="6" t="s">
        <v>53</v>
      </c>
      <c r="I12" s="6" t="s">
        <v>46</v>
      </c>
      <c r="J12" s="6" t="n">
        <v>3</v>
      </c>
      <c r="K12" s="6" t="n">
        <v>1</v>
      </c>
      <c r="L12" s="6" t="n">
        <v>1</v>
      </c>
      <c r="M12" s="6" t="n">
        <v>4</v>
      </c>
      <c r="N12" s="6" t="n">
        <v>4</v>
      </c>
      <c r="O12" s="4" t="s">
        <v>68</v>
      </c>
      <c r="P12" s="6" t="s">
        <v>48</v>
      </c>
      <c r="Q12" s="6" t="s">
        <v>69</v>
      </c>
      <c r="R12" s="6" t="s">
        <v>50</v>
      </c>
    </row>
    <row r="13" customFormat="false" ht="23.85" hidden="false" customHeight="false" outlineLevel="0" collapsed="false">
      <c r="A13" s="6" t="s">
        <v>79</v>
      </c>
      <c r="B13" s="6" t="s">
        <v>80</v>
      </c>
      <c r="C13" s="6" t="str">
        <f aca="false">IF(D13="5–6","Yes",IF(D13="7 or more","Yes","No"))</f>
        <v>Yes</v>
      </c>
      <c r="D13" s="6" t="s">
        <v>42</v>
      </c>
      <c r="E13" s="6" t="s">
        <v>43</v>
      </c>
      <c r="F13" s="6" t="s">
        <v>44</v>
      </c>
      <c r="G13" s="6" t="s">
        <v>46</v>
      </c>
      <c r="H13" s="6" t="s">
        <v>45</v>
      </c>
      <c r="I13" s="6" t="s">
        <v>46</v>
      </c>
      <c r="J13" s="6" t="n">
        <v>4</v>
      </c>
      <c r="K13" s="6" t="n">
        <v>2</v>
      </c>
      <c r="L13" s="6" t="n">
        <v>5</v>
      </c>
      <c r="M13" s="6" t="n">
        <v>3</v>
      </c>
      <c r="N13" s="6" t="n">
        <v>3</v>
      </c>
      <c r="O13" s="4" t="s">
        <v>81</v>
      </c>
      <c r="P13" s="6" t="s">
        <v>48</v>
      </c>
      <c r="Q13" s="6" t="s">
        <v>61</v>
      </c>
      <c r="R13" s="6" t="s">
        <v>50</v>
      </c>
    </row>
    <row r="14" customFormat="false" ht="15" hidden="false" customHeight="false" outlineLevel="0" collapsed="false">
      <c r="A14" s="6" t="s">
        <v>82</v>
      </c>
      <c r="B14" s="6" t="s">
        <v>83</v>
      </c>
      <c r="C14" s="6" t="str">
        <f aca="false">IF(D14="5–6","Yes",IF(D14="7 or more","Yes","No"))</f>
        <v>Yes</v>
      </c>
      <c r="D14" s="6" t="s">
        <v>42</v>
      </c>
      <c r="E14" s="6" t="s">
        <v>78</v>
      </c>
      <c r="F14" s="6" t="s">
        <v>44</v>
      </c>
      <c r="G14" s="6" t="s">
        <v>46</v>
      </c>
      <c r="H14" s="6" t="s">
        <v>46</v>
      </c>
      <c r="I14" s="6" t="s">
        <v>67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5</v>
      </c>
      <c r="O14" s="4" t="s">
        <v>84</v>
      </c>
      <c r="P14" s="6" t="s">
        <v>65</v>
      </c>
      <c r="Q14" s="6" t="s">
        <v>69</v>
      </c>
      <c r="R14" s="6" t="s">
        <v>50</v>
      </c>
    </row>
    <row r="15" customFormat="false" ht="23.85" hidden="false" customHeight="false" outlineLevel="0" collapsed="false">
      <c r="A15" s="6" t="s">
        <v>85</v>
      </c>
      <c r="B15" s="6" t="s">
        <v>86</v>
      </c>
      <c r="C15" s="6" t="str">
        <f aca="false">IF(D15="5–6","Yes",IF(D15="7 or more","Yes","No"))</f>
        <v>Yes</v>
      </c>
      <c r="D15" s="6" t="s">
        <v>42</v>
      </c>
      <c r="E15" s="6" t="s">
        <v>43</v>
      </c>
      <c r="F15" s="6" t="s">
        <v>44</v>
      </c>
      <c r="G15" s="6" t="s">
        <v>53</v>
      </c>
      <c r="H15" s="6" t="s">
        <v>53</v>
      </c>
      <c r="I15" s="6" t="s">
        <v>45</v>
      </c>
      <c r="J15" s="6" t="n">
        <v>4</v>
      </c>
      <c r="K15" s="6" t="n">
        <v>4</v>
      </c>
      <c r="L15" s="6" t="n">
        <v>2</v>
      </c>
      <c r="M15" s="6" t="n">
        <v>3</v>
      </c>
      <c r="N15" s="6" t="n">
        <v>3</v>
      </c>
      <c r="O15" s="4" t="s">
        <v>87</v>
      </c>
      <c r="P15" s="6" t="s">
        <v>65</v>
      </c>
      <c r="Q15" s="6" t="s">
        <v>69</v>
      </c>
      <c r="R15" s="6" t="s">
        <v>57</v>
      </c>
    </row>
    <row r="16" customFormat="false" ht="15" hidden="false" customHeight="false" outlineLevel="0" collapsed="false">
      <c r="A16" s="6" t="s">
        <v>88</v>
      </c>
      <c r="B16" s="6" t="s">
        <v>89</v>
      </c>
      <c r="C16" s="6" t="str">
        <f aca="false">IF(D16="5–6","Yes",IF(D16="7 or more","Yes","No"))</f>
        <v>Yes</v>
      </c>
      <c r="D16" s="6" t="s">
        <v>42</v>
      </c>
      <c r="E16" s="6" t="s">
        <v>78</v>
      </c>
      <c r="F16" s="6" t="s">
        <v>44</v>
      </c>
      <c r="G16" s="6" t="s">
        <v>46</v>
      </c>
      <c r="H16" s="6" t="s">
        <v>46</v>
      </c>
      <c r="I16" s="6" t="s">
        <v>46</v>
      </c>
      <c r="J16" s="6" t="n">
        <v>3</v>
      </c>
      <c r="K16" s="6" t="n">
        <v>3</v>
      </c>
      <c r="L16" s="6" t="n">
        <v>3</v>
      </c>
      <c r="M16" s="6" t="n">
        <v>4</v>
      </c>
      <c r="N16" s="6" t="n">
        <v>3</v>
      </c>
      <c r="O16" s="4" t="s">
        <v>54</v>
      </c>
      <c r="P16" s="6" t="s">
        <v>48</v>
      </c>
      <c r="Q16" s="6" t="s">
        <v>69</v>
      </c>
      <c r="R16" s="6" t="s">
        <v>50</v>
      </c>
    </row>
    <row r="17" customFormat="false" ht="23.85" hidden="false" customHeight="false" outlineLevel="0" collapsed="false">
      <c r="A17" s="6" t="s">
        <v>90</v>
      </c>
      <c r="B17" s="6" t="s">
        <v>91</v>
      </c>
      <c r="C17" s="6" t="str">
        <f aca="false">IF(D17="5–6","Yes",IF(D17="7 or more","Yes","No"))</f>
        <v>Yes</v>
      </c>
      <c r="D17" s="6" t="s">
        <v>42</v>
      </c>
      <c r="E17" s="6" t="s">
        <v>43</v>
      </c>
      <c r="F17" s="6" t="s">
        <v>44</v>
      </c>
      <c r="G17" s="6" t="s">
        <v>45</v>
      </c>
      <c r="H17" s="6" t="s">
        <v>45</v>
      </c>
      <c r="I17" s="6" t="s">
        <v>46</v>
      </c>
      <c r="J17" s="6" t="n">
        <v>2</v>
      </c>
      <c r="K17" s="6" t="n">
        <v>4</v>
      </c>
      <c r="L17" s="6" t="n">
        <v>5</v>
      </c>
      <c r="M17" s="6" t="n">
        <v>2</v>
      </c>
      <c r="N17" s="6" t="n">
        <v>4</v>
      </c>
      <c r="O17" s="4" t="s">
        <v>47</v>
      </c>
      <c r="P17" s="6" t="s">
        <v>48</v>
      </c>
      <c r="Q17" s="6" t="s">
        <v>49</v>
      </c>
      <c r="R17" s="6" t="s">
        <v>57</v>
      </c>
    </row>
    <row r="18" customFormat="false" ht="15" hidden="false" customHeight="false" outlineLevel="0" collapsed="false">
      <c r="A18" s="6" t="s">
        <v>92</v>
      </c>
      <c r="B18" s="6" t="s">
        <v>93</v>
      </c>
      <c r="C18" s="6" t="str">
        <f aca="false">IF(D18="5–6","Yes",IF(D18="7 or more","Yes","No"))</f>
        <v>Yes</v>
      </c>
      <c r="D18" s="6" t="s">
        <v>42</v>
      </c>
      <c r="E18" s="6" t="s">
        <v>78</v>
      </c>
      <c r="F18" s="6" t="s">
        <v>66</v>
      </c>
      <c r="G18" s="6" t="s">
        <v>45</v>
      </c>
      <c r="H18" s="6" t="s">
        <v>45</v>
      </c>
      <c r="I18" s="6" t="s">
        <v>46</v>
      </c>
      <c r="J18" s="6" t="n">
        <v>4</v>
      </c>
      <c r="K18" s="6" t="n">
        <v>4</v>
      </c>
      <c r="L18" s="6" t="n">
        <v>4</v>
      </c>
      <c r="M18" s="6" t="n">
        <v>4</v>
      </c>
      <c r="N18" s="6" t="n">
        <v>2</v>
      </c>
      <c r="O18" s="4" t="s">
        <v>72</v>
      </c>
      <c r="P18" s="6" t="s">
        <v>65</v>
      </c>
      <c r="Q18" s="6" t="s">
        <v>69</v>
      </c>
      <c r="R18" s="6" t="s">
        <v>50</v>
      </c>
    </row>
    <row r="19" customFormat="false" ht="15" hidden="false" customHeight="false" outlineLevel="0" collapsed="false">
      <c r="A19" s="6" t="s">
        <v>94</v>
      </c>
      <c r="B19" s="6" t="s">
        <v>95</v>
      </c>
      <c r="C19" s="6" t="str">
        <f aca="false">IF(D19="5–6","Yes",IF(D19="7 or more","Yes","No"))</f>
        <v>No</v>
      </c>
      <c r="D19" s="6" t="s">
        <v>96</v>
      </c>
      <c r="E19" s="6" t="s">
        <v>65</v>
      </c>
      <c r="F19" s="6" t="s">
        <v>44</v>
      </c>
      <c r="G19" s="6"/>
      <c r="H19" s="6"/>
      <c r="I19" s="6"/>
      <c r="J19" s="6"/>
      <c r="K19" s="6"/>
      <c r="L19" s="6"/>
      <c r="M19" s="6"/>
      <c r="N19" s="6"/>
      <c r="O19" s="4"/>
      <c r="P19" s="6"/>
      <c r="Q19" s="6"/>
      <c r="R19" s="6" t="s">
        <v>50</v>
      </c>
    </row>
    <row r="20" customFormat="false" ht="23.85" hidden="false" customHeight="false" outlineLevel="0" collapsed="false">
      <c r="A20" s="6" t="s">
        <v>97</v>
      </c>
      <c r="B20" s="6" t="s">
        <v>98</v>
      </c>
      <c r="C20" s="6" t="str">
        <f aca="false">IF(D20="5–6","Yes",IF(D20="7 or more","Yes","No"))</f>
        <v>No</v>
      </c>
      <c r="D20" s="6" t="s">
        <v>64</v>
      </c>
      <c r="E20" s="6" t="s">
        <v>99</v>
      </c>
      <c r="F20" s="6" t="s">
        <v>100</v>
      </c>
      <c r="G20" s="6" t="s">
        <v>45</v>
      </c>
      <c r="H20" s="6" t="s">
        <v>46</v>
      </c>
      <c r="I20" s="6" t="s">
        <v>53</v>
      </c>
      <c r="J20" s="6" t="n">
        <v>3</v>
      </c>
      <c r="K20" s="6" t="n">
        <v>5</v>
      </c>
      <c r="L20" s="6" t="n">
        <v>5</v>
      </c>
      <c r="M20" s="6" t="n">
        <v>4</v>
      </c>
      <c r="N20" s="6" t="n">
        <v>3</v>
      </c>
      <c r="O20" s="4" t="s">
        <v>84</v>
      </c>
      <c r="P20" s="6" t="s">
        <v>48</v>
      </c>
      <c r="Q20" s="6" t="s">
        <v>61</v>
      </c>
      <c r="R20" s="6" t="s">
        <v>50</v>
      </c>
    </row>
    <row r="21" customFormat="false" ht="23.85" hidden="false" customHeight="false" outlineLevel="0" collapsed="false">
      <c r="A21" s="6" t="s">
        <v>101</v>
      </c>
      <c r="B21" s="6" t="s">
        <v>102</v>
      </c>
      <c r="C21" s="6" t="str">
        <f aca="false">IF(D21="5–6","Yes",IF(D21="7 or more","Yes","No"))</f>
        <v>No</v>
      </c>
      <c r="D21" s="6" t="s">
        <v>64</v>
      </c>
      <c r="E21" s="6" t="s">
        <v>103</v>
      </c>
      <c r="F21" s="6" t="s">
        <v>66</v>
      </c>
      <c r="G21" s="6" t="s">
        <v>53</v>
      </c>
      <c r="H21" s="6" t="s">
        <v>46</v>
      </c>
      <c r="I21" s="6" t="s">
        <v>46</v>
      </c>
      <c r="J21" s="6" t="n">
        <v>4</v>
      </c>
      <c r="K21" s="6" t="n">
        <v>5</v>
      </c>
      <c r="L21" s="6" t="n">
        <v>5</v>
      </c>
      <c r="M21" s="6" t="n">
        <v>2</v>
      </c>
      <c r="N21" s="6" t="n">
        <v>5</v>
      </c>
      <c r="O21" s="4" t="s">
        <v>47</v>
      </c>
      <c r="P21" s="6" t="s">
        <v>48</v>
      </c>
      <c r="Q21" s="6" t="s">
        <v>61</v>
      </c>
      <c r="R21" s="6" t="s">
        <v>50</v>
      </c>
    </row>
    <row r="22" customFormat="false" ht="15" hidden="false" customHeight="false" outlineLevel="0" collapsed="false">
      <c r="A22" s="6" t="s">
        <v>104</v>
      </c>
      <c r="B22" s="6" t="s">
        <v>105</v>
      </c>
      <c r="C22" s="6" t="str">
        <f aca="false">IF(D22="5–6","Yes",IF(D22="7 or more","Yes","No"))</f>
        <v>Yes</v>
      </c>
      <c r="D22" s="6" t="s">
        <v>42</v>
      </c>
      <c r="E22" s="6" t="s">
        <v>43</v>
      </c>
      <c r="F22" s="6" t="s">
        <v>44</v>
      </c>
      <c r="G22" s="6" t="s">
        <v>45</v>
      </c>
      <c r="H22" s="6" t="s">
        <v>45</v>
      </c>
      <c r="I22" s="6" t="s">
        <v>46</v>
      </c>
      <c r="J22" s="6" t="n">
        <v>4</v>
      </c>
      <c r="K22" s="6" t="n">
        <v>5</v>
      </c>
      <c r="L22" s="6" t="n">
        <v>4</v>
      </c>
      <c r="M22" s="6" t="n">
        <v>2</v>
      </c>
      <c r="N22" s="6" t="n">
        <v>2</v>
      </c>
      <c r="O22" s="4" t="s">
        <v>106</v>
      </c>
      <c r="P22" s="6" t="s">
        <v>48</v>
      </c>
      <c r="Q22" s="6" t="s">
        <v>61</v>
      </c>
      <c r="R22" s="6" t="s">
        <v>50</v>
      </c>
    </row>
    <row r="23" customFormat="false" ht="23.85" hidden="false" customHeight="false" outlineLevel="0" collapsed="false">
      <c r="A23" s="6" t="s">
        <v>107</v>
      </c>
      <c r="B23" s="6" t="s">
        <v>108</v>
      </c>
      <c r="C23" s="6" t="str">
        <f aca="false">IF(D23="5–6","Yes",IF(D23="7 or more","Yes","No"))</f>
        <v>Yes</v>
      </c>
      <c r="D23" s="6" t="s">
        <v>42</v>
      </c>
      <c r="E23" s="6" t="s">
        <v>43</v>
      </c>
      <c r="F23" s="6" t="s">
        <v>44</v>
      </c>
      <c r="G23" s="6" t="s">
        <v>46</v>
      </c>
      <c r="H23" s="6" t="s">
        <v>46</v>
      </c>
      <c r="I23" s="6" t="s">
        <v>53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5</v>
      </c>
      <c r="O23" s="4" t="s">
        <v>109</v>
      </c>
      <c r="P23" s="6" t="s">
        <v>65</v>
      </c>
      <c r="Q23" s="6" t="s">
        <v>69</v>
      </c>
      <c r="R23" s="6" t="s">
        <v>50</v>
      </c>
    </row>
  </sheetData>
  <autoFilter ref="A4:R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7" t="s">
        <v>112</v>
      </c>
      <c r="B4" s="8" t="n">
        <f aca="false">COUNTIF('Survey Raw'!$C$5:$C$23,"Yes")</f>
        <v>15</v>
      </c>
    </row>
    <row r="6" customFormat="false" ht="15" hidden="false" customHeight="false" outlineLevel="0" collapsed="false">
      <c r="A6" s="9" t="s">
        <v>26</v>
      </c>
      <c r="B6" s="5" t="s">
        <v>113</v>
      </c>
      <c r="C6" s="5" t="s">
        <v>114</v>
      </c>
    </row>
    <row r="7" customFormat="false" ht="15" hidden="false" customHeight="false" outlineLevel="0" collapsed="false">
      <c r="A7" s="4" t="s">
        <v>43</v>
      </c>
      <c r="B7" s="6" t="n">
        <f aca="false">COUNTIFS('Survey Raw'!$C$5:$C$23,"Yes",'Survey Raw'!$E$5:$E$23,"Room in an HDB flat")</f>
        <v>11</v>
      </c>
      <c r="C7" s="10" t="n">
        <f aca="false">IF($B$4=0,0,B7/$B$4)</f>
        <v>0.733333333333333</v>
      </c>
    </row>
    <row r="8" customFormat="false" ht="15" hidden="false" customHeight="false" outlineLevel="0" collapsed="false">
      <c r="A8" s="4" t="s">
        <v>78</v>
      </c>
      <c r="B8" s="6" t="n">
        <f aca="false">COUNTIFS('Survey Raw'!$C$5:$C$23,"Yes",'Survey Raw'!$E$5:$E$23,"Room in a condo")</f>
        <v>4</v>
      </c>
      <c r="C8" s="10" t="n">
        <f aca="false">IF($B$4=0,0,B8/$B$4)</f>
        <v>0.266666666666667</v>
      </c>
    </row>
    <row r="9" customFormat="false" ht="15" hidden="false" customHeight="false" outlineLevel="0" collapsed="false">
      <c r="A9" s="4" t="s">
        <v>103</v>
      </c>
      <c r="B9" s="6" t="n">
        <f aca="false">COUNTIFS('Survey Raw'!$C$5:$C$23,"Yes",'Survey Raw'!$E$5:$E$23,"Co-living")</f>
        <v>0</v>
      </c>
      <c r="C9" s="10" t="n">
        <f aca="false">IF($B$4=0,0,B9/$B$4)</f>
        <v>0</v>
      </c>
    </row>
    <row r="10" customFormat="false" ht="15" hidden="false" customHeight="false" outlineLevel="0" collapsed="false">
      <c r="A10" s="4" t="s">
        <v>99</v>
      </c>
      <c r="B10" s="6" t="n">
        <f aca="false">COUNTIFS('Survey Raw'!$C$5:$C$23,"Yes",'Survey Raw'!$E$5:$E$23,"Student hostel")</f>
        <v>0</v>
      </c>
      <c r="C10" s="10" t="n">
        <f aca="false">IF($B$4=0,0,B10/$B$4)</f>
        <v>0</v>
      </c>
    </row>
    <row r="11" customFormat="false" ht="15" hidden="false" customHeight="false" outlineLevel="0" collapsed="false">
      <c r="A11" s="4" t="s">
        <v>65</v>
      </c>
      <c r="B11" s="6" t="n">
        <f aca="false">COUNTIFS('Survey Raw'!$C$5:$C$23,"Yes",'Survey Raw'!$E$5:$E$23,"Other")</f>
        <v>0</v>
      </c>
      <c r="C11" s="10" t="n">
        <f aca="false">IF($B$4=0,0,B11/$B$4)</f>
        <v>0</v>
      </c>
    </row>
    <row r="13" customFormat="false" ht="15" hidden="false" customHeight="false" outlineLevel="0" collapsed="false">
      <c r="A13" s="9" t="s">
        <v>115</v>
      </c>
      <c r="B13" s="5" t="s">
        <v>113</v>
      </c>
      <c r="C13" s="5" t="s">
        <v>114</v>
      </c>
    </row>
    <row r="14" customFormat="false" ht="15" hidden="false" customHeight="false" outlineLevel="0" collapsed="false">
      <c r="A14" s="4" t="s">
        <v>67</v>
      </c>
      <c r="B14" s="6" t="n">
        <f aca="false">COUNTIFS('Survey Raw'!$C$5:$C$23,"Yes",'Survey Raw'!$G$5:$G$23,"Never")</f>
        <v>0</v>
      </c>
      <c r="C14" s="10" t="n">
        <f aca="false">IF($B$4=0,0,B14/$B$4)</f>
        <v>0</v>
      </c>
    </row>
    <row r="15" customFormat="false" ht="15" hidden="false" customHeight="false" outlineLevel="0" collapsed="false">
      <c r="A15" s="4" t="s">
        <v>46</v>
      </c>
      <c r="B15" s="6" t="n">
        <f aca="false">COUNTIFS('Survey Raw'!$C$5:$C$23,"Yes",'Survey Raw'!$G$5:$G$23,"1–2 times")</f>
        <v>8</v>
      </c>
      <c r="C15" s="10" t="n">
        <f aca="false">IF($B$4=0,0,B15/$B$4)</f>
        <v>0.533333333333333</v>
      </c>
    </row>
    <row r="16" customFormat="false" ht="15" hidden="false" customHeight="false" outlineLevel="0" collapsed="false">
      <c r="A16" s="4" t="s">
        <v>45</v>
      </c>
      <c r="B16" s="6" t="n">
        <f aca="false">COUNTIFS('Survey Raw'!$C$5:$C$23,"Yes",'Survey Raw'!$G$5:$G$23,"3–5 times")</f>
        <v>5</v>
      </c>
      <c r="C16" s="10" t="n">
        <f aca="false">IF($B$4=0,0,B16/$B$4)</f>
        <v>0.333333333333333</v>
      </c>
    </row>
    <row r="17" customFormat="false" ht="15" hidden="false" customHeight="false" outlineLevel="0" collapsed="false">
      <c r="A17" s="4" t="s">
        <v>53</v>
      </c>
      <c r="B17" s="6" t="n">
        <f aca="false">COUNTIFS('Survey Raw'!$C$5:$C$23,"Yes",'Survey Raw'!$G$5:$G$23,"More than 5 times")</f>
        <v>2</v>
      </c>
      <c r="C17" s="10" t="n">
        <f aca="false">IF($B$4=0,0,B17/$B$4)</f>
        <v>0.133333333333333</v>
      </c>
    </row>
    <row r="19" customFormat="false" ht="15" hidden="false" customHeight="false" outlineLevel="0" collapsed="false">
      <c r="A19" s="9" t="s">
        <v>116</v>
      </c>
      <c r="B19" s="5" t="s">
        <v>113</v>
      </c>
      <c r="C19" s="5" t="s">
        <v>114</v>
      </c>
    </row>
    <row r="20" customFormat="false" ht="15" hidden="false" customHeight="false" outlineLevel="0" collapsed="false">
      <c r="A20" s="4" t="s">
        <v>67</v>
      </c>
      <c r="B20" s="6" t="n">
        <f aca="false">COUNTIFS('Survey Raw'!$C$5:$C$23,"Yes",'Survey Raw'!$H$5:$H$23,"Never")</f>
        <v>0</v>
      </c>
      <c r="C20" s="10" t="n">
        <f aca="false">IF($B$4=0,0,B20/$B$4)</f>
        <v>0</v>
      </c>
    </row>
    <row r="21" customFormat="false" ht="15" hidden="false" customHeight="false" outlineLevel="0" collapsed="false">
      <c r="A21" s="4" t="s">
        <v>46</v>
      </c>
      <c r="B21" s="6" t="n">
        <f aca="false">COUNTIFS('Survey Raw'!$C$5:$C$23,"Yes",'Survey Raw'!$H$5:$H$23,"1–2 times")</f>
        <v>6</v>
      </c>
      <c r="C21" s="10" t="n">
        <f aca="false">IF($B$4=0,0,B21/$B$4)</f>
        <v>0.4</v>
      </c>
    </row>
    <row r="22" customFormat="false" ht="15" hidden="false" customHeight="false" outlineLevel="0" collapsed="false">
      <c r="A22" s="4" t="s">
        <v>45</v>
      </c>
      <c r="B22" s="6" t="n">
        <f aca="false">COUNTIFS('Survey Raw'!$C$5:$C$23,"Yes",'Survey Raw'!$H$5:$H$23,"3–5 times")</f>
        <v>6</v>
      </c>
      <c r="C22" s="10" t="n">
        <f aca="false">IF($B$4=0,0,B22/$B$4)</f>
        <v>0.4</v>
      </c>
    </row>
    <row r="23" customFormat="false" ht="15" hidden="false" customHeight="false" outlineLevel="0" collapsed="false">
      <c r="A23" s="4" t="s">
        <v>53</v>
      </c>
      <c r="B23" s="6" t="n">
        <f aca="false">COUNTIFS('Survey Raw'!$C$5:$C$23,"Yes",'Survey Raw'!$H$5:$H$23,"More than 5 times")</f>
        <v>3</v>
      </c>
      <c r="C23" s="10" t="n">
        <f aca="false">IF($B$4=0,0,B23/$B$4)</f>
        <v>0.2</v>
      </c>
    </row>
    <row r="25" customFormat="false" ht="15" hidden="false" customHeight="false" outlineLevel="0" collapsed="false">
      <c r="A25" s="9" t="s">
        <v>117</v>
      </c>
      <c r="B25" s="5" t="s">
        <v>113</v>
      </c>
      <c r="C25" s="5" t="s">
        <v>114</v>
      </c>
    </row>
    <row r="26" customFormat="false" ht="15" hidden="false" customHeight="false" outlineLevel="0" collapsed="false">
      <c r="A26" s="4" t="s">
        <v>67</v>
      </c>
      <c r="B26" s="6" t="n">
        <f aca="false">COUNTIFS('Survey Raw'!$C$5:$C$23,"Yes",'Survey Raw'!$I$5:$I$23,"Never")</f>
        <v>2</v>
      </c>
      <c r="C26" s="10" t="n">
        <f aca="false">IF($B$4=0,0,B26/$B$4)</f>
        <v>0.133333333333333</v>
      </c>
    </row>
    <row r="27" customFormat="false" ht="15" hidden="false" customHeight="false" outlineLevel="0" collapsed="false">
      <c r="A27" s="4" t="s">
        <v>46</v>
      </c>
      <c r="B27" s="6" t="n">
        <f aca="false">COUNTIFS('Survey Raw'!$C$5:$C$23,"Yes",'Survey Raw'!$I$5:$I$23,"1–2 times")</f>
        <v>9</v>
      </c>
      <c r="C27" s="10" t="n">
        <f aca="false">IF($B$4=0,0,B27/$B$4)</f>
        <v>0.6</v>
      </c>
    </row>
    <row r="28" customFormat="false" ht="15" hidden="false" customHeight="false" outlineLevel="0" collapsed="false">
      <c r="A28" s="4" t="s">
        <v>45</v>
      </c>
      <c r="B28" s="6" t="n">
        <f aca="false">COUNTIFS('Survey Raw'!$C$5:$C$23,"Yes",'Survey Raw'!$I$5:$I$23,"3–5 times")</f>
        <v>3</v>
      </c>
      <c r="C28" s="10" t="n">
        <f aca="false">IF($B$4=0,0,B28/$B$4)</f>
        <v>0.2</v>
      </c>
    </row>
    <row r="29" customFormat="false" ht="15" hidden="false" customHeight="false" outlineLevel="0" collapsed="false">
      <c r="A29" s="4" t="s">
        <v>53</v>
      </c>
      <c r="B29" s="6" t="n">
        <f aca="false">COUNTIFS('Survey Raw'!$C$5:$C$23,"Yes",'Survey Raw'!$I$5:$I$23,"More than 5 times")</f>
        <v>1</v>
      </c>
      <c r="C29" s="10" t="n">
        <f aca="false">IF($B$4=0,0,B29/$B$4)</f>
        <v>0.0666666666666667</v>
      </c>
    </row>
    <row r="31" customFormat="false" ht="15" hidden="false" customHeight="false" outlineLevel="0" collapsed="false">
      <c r="A31" s="9" t="s">
        <v>118</v>
      </c>
      <c r="B31" s="5" t="s">
        <v>113</v>
      </c>
      <c r="C31" s="5" t="s">
        <v>114</v>
      </c>
    </row>
    <row r="32" customFormat="false" ht="15" hidden="false" customHeight="false" outlineLevel="0" collapsed="false">
      <c r="A32" s="4" t="s">
        <v>119</v>
      </c>
      <c r="B32" s="6" t="n">
        <f aca="false">$B$4-COUNTIFS('Survey Raw'!$C$5:$C$23,"Yes",'Survey Raw'!$G$5:$G$23,"Never")</f>
        <v>15</v>
      </c>
      <c r="C32" s="10" t="n">
        <f aca="false">IF($B$4=0,0,B32/$B$4)</f>
        <v>1</v>
      </c>
    </row>
    <row r="33" customFormat="false" ht="15" hidden="false" customHeight="false" outlineLevel="0" collapsed="false">
      <c r="A33" s="4" t="s">
        <v>120</v>
      </c>
      <c r="B33" s="6" t="n">
        <f aca="false">COUNTIFS('Survey Raw'!$C$5:$C$23,"Yes",'Survey Raw'!$G$5:$G$23,"3–5 times")+COUNTIFS('Survey Raw'!$C$5:$C$23,"Yes",'Survey Raw'!$G$5:$G$23,"More than 5 times")</f>
        <v>7</v>
      </c>
      <c r="C33" s="10" t="n">
        <f aca="false">IF($B$4=0,0,B33/$B$4)</f>
        <v>0.466666666666667</v>
      </c>
    </row>
    <row r="34" customFormat="false" ht="15" hidden="false" customHeight="false" outlineLevel="0" collapsed="false">
      <c r="A34" s="4" t="s">
        <v>121</v>
      </c>
      <c r="B34" s="6" t="n">
        <f aca="false">$B$4-COUNTIFS('Survey Raw'!$C$5:$C$23,"Yes",'Survey Raw'!$H$5:$H$23,"Never")</f>
        <v>15</v>
      </c>
      <c r="C34" s="10" t="n">
        <f aca="false">IF($B$4=0,0,B34/$B$4)</f>
        <v>1</v>
      </c>
    </row>
    <row r="35" customFormat="false" ht="15" hidden="false" customHeight="false" outlineLevel="0" collapsed="false">
      <c r="A35" s="4" t="s">
        <v>122</v>
      </c>
      <c r="B35" s="6" t="n">
        <f aca="false">COUNTIFS('Survey Raw'!$C$5:$C$23,"Yes",'Survey Raw'!$H$5:$H$23,"3–5 times")+COUNTIFS('Survey Raw'!$C$5:$C$23,"Yes",'Survey Raw'!$H$5:$H$23,"More than 5 times")</f>
        <v>9</v>
      </c>
      <c r="C35" s="10" t="n">
        <f aca="false">IF($B$4=0,0,B35/$B$4)</f>
        <v>0.6</v>
      </c>
    </row>
    <row r="36" customFormat="false" ht="15" hidden="false" customHeight="false" outlineLevel="0" collapsed="false">
      <c r="A36" s="4" t="s">
        <v>123</v>
      </c>
      <c r="B36" s="6" t="n">
        <f aca="false">$B$4-COUNTIFS('Survey Raw'!$C$5:$C$23,"Yes",'Survey Raw'!$I$5:$I$23,"Never")</f>
        <v>13</v>
      </c>
      <c r="C36" s="10" t="n">
        <f aca="false">IF($B$4=0,0,B36/$B$4)</f>
        <v>0.866666666666667</v>
      </c>
    </row>
    <row r="37" customFormat="false" ht="15" hidden="false" customHeight="false" outlineLevel="0" collapsed="false">
      <c r="A37" s="4" t="s">
        <v>124</v>
      </c>
      <c r="B37" s="6" t="n">
        <f aca="false">COUNTIFS('Survey Raw'!$C$5:$C$23,"Yes",'Survey Raw'!$I$5:$I$23,"3–5 times")+COUNTIFS('Survey Raw'!$C$5:$C$23,"Yes",'Survey Raw'!$I$5:$I$23,"More than 5 times")</f>
        <v>4</v>
      </c>
      <c r="C37" s="10" t="n">
        <f aca="false">IF($B$4=0,0,B37/$B$4)</f>
        <v>0.266666666666667</v>
      </c>
    </row>
    <row r="39" customFormat="false" ht="15" hidden="false" customHeight="false" outlineLevel="0" collapsed="false">
      <c r="A39" s="9" t="s">
        <v>125</v>
      </c>
      <c r="B39" s="5" t="s">
        <v>126</v>
      </c>
      <c r="C39" s="5" t="s">
        <v>127</v>
      </c>
      <c r="D39" s="5" t="s">
        <v>128</v>
      </c>
    </row>
    <row r="40" customFormat="false" ht="15" hidden="false" customHeight="false" outlineLevel="0" collapsed="false">
      <c r="A40" s="4" t="s">
        <v>129</v>
      </c>
      <c r="B40" s="11" t="n">
        <f aca="false">AVERAGEIF('Survey Raw'!$C$5:$C$23,"Yes",'Survey Raw'!$J$5:$J$23)</f>
        <v>3.26666666666667</v>
      </c>
      <c r="C40" s="6" t="n">
        <f aca="false">COUNTIFS('Survey Raw'!$C$5:$C$23,"Yes",'Survey Raw'!$J$5:$J$23,"&gt;=4")</f>
        <v>9</v>
      </c>
      <c r="D40" s="10" t="n">
        <f aca="false">IF($B$4=0,0,C40/$B$4)</f>
        <v>0.6</v>
      </c>
    </row>
    <row r="41" customFormat="false" ht="15" hidden="false" customHeight="false" outlineLevel="0" collapsed="false">
      <c r="A41" s="4" t="s">
        <v>130</v>
      </c>
      <c r="B41" s="11" t="n">
        <f aca="false">AVERAGEIF('Survey Raw'!$C$5:$C$23,"Yes",'Survey Raw'!$K$5:$K$23)</f>
        <v>2.8</v>
      </c>
      <c r="C41" s="6" t="n">
        <f aca="false">COUNTIFS('Survey Raw'!$C$5:$C$23,"Yes",'Survey Raw'!$K$5:$K$23,"&gt;=4")</f>
        <v>6</v>
      </c>
      <c r="D41" s="10" t="n">
        <f aca="false">IF($B$4=0,0,C41/$B$4)</f>
        <v>0.4</v>
      </c>
    </row>
    <row r="42" customFormat="false" ht="15" hidden="false" customHeight="false" outlineLevel="0" collapsed="false">
      <c r="A42" s="4" t="s">
        <v>131</v>
      </c>
      <c r="B42" s="11" t="n">
        <f aca="false">AVERAGEIF('Survey Raw'!$C$5:$C$23,"Yes",'Survey Raw'!$L$5:$L$23)</f>
        <v>2.93333333333333</v>
      </c>
      <c r="C42" s="6" t="n">
        <f aca="false">COUNTIFS('Survey Raw'!$C$5:$C$23,"Yes",'Survey Raw'!$L$5:$L$23,"&gt;=4")</f>
        <v>6</v>
      </c>
      <c r="D42" s="10" t="n">
        <f aca="false">IF($B$4=0,0,C42/$B$4)</f>
        <v>0.4</v>
      </c>
    </row>
    <row r="43" customFormat="false" ht="15" hidden="false" customHeight="false" outlineLevel="0" collapsed="false">
      <c r="A43" s="4" t="s">
        <v>132</v>
      </c>
      <c r="B43" s="11" t="n">
        <f aca="false">AVERAGEIF('Survey Raw'!$C$5:$C$23,"Yes",'Survey Raw'!$M$5:$M$23)</f>
        <v>2.8</v>
      </c>
      <c r="C43" s="6" t="n">
        <f aca="false">COUNTIFS('Survey Raw'!$C$5:$C$23,"Yes",'Survey Raw'!$M$5:$M$23,"&gt;=4")</f>
        <v>6</v>
      </c>
      <c r="D43" s="10" t="n">
        <f aca="false">IF($B$4=0,0,C43/$B$4)</f>
        <v>0.4</v>
      </c>
    </row>
    <row r="44" customFormat="false" ht="35.05" hidden="false" customHeight="false" outlineLevel="0" collapsed="false">
      <c r="A44" s="4" t="s">
        <v>133</v>
      </c>
      <c r="B44" s="11" t="n">
        <f aca="false">AVERAGEIF('Survey Raw'!$C$5:$C$23,"Yes",'Survey Raw'!$N$5:$N$23)</f>
        <v>3.46666666666667</v>
      </c>
      <c r="C44" s="6" t="n">
        <f aca="false">COUNTIFS('Survey Raw'!$C$5:$C$23,"Yes",'Survey Raw'!$N$5:$N$23,"&lt;=3")</f>
        <v>7</v>
      </c>
      <c r="D44" s="10" t="n">
        <f aca="false">IF($B$4=0,0,C44/$B$4)</f>
        <v>0.466666666666667</v>
      </c>
      <c r="E44" s="12" t="s">
        <v>134</v>
      </c>
    </row>
    <row r="46" customFormat="false" ht="15" hidden="false" customHeight="false" outlineLevel="0" collapsed="false">
      <c r="A46" s="9" t="s">
        <v>135</v>
      </c>
      <c r="B46" s="5" t="s">
        <v>113</v>
      </c>
      <c r="C46" s="5" t="s">
        <v>114</v>
      </c>
    </row>
    <row r="47" customFormat="false" ht="15" hidden="false" customHeight="false" outlineLevel="0" collapsed="false">
      <c r="A47" s="4" t="s">
        <v>72</v>
      </c>
      <c r="B47" s="6" t="n">
        <f aca="false">COUNTIFS('Survey Raw'!$C$5:$C$23,"Yes",'Survey Raw'!$O$5:$O$23,"*Walk over and check*")</f>
        <v>10</v>
      </c>
      <c r="C47" s="10" t="n">
        <f aca="false">IF($B$4=0,0,B47/$B$4)</f>
        <v>0.666666666666667</v>
      </c>
    </row>
    <row r="48" customFormat="false" ht="15" hidden="false" customHeight="false" outlineLevel="0" collapsed="false">
      <c r="A48" s="4" t="s">
        <v>136</v>
      </c>
      <c r="B48" s="6" t="n">
        <f aca="false">COUNTIFS('Survey Raw'!$C$5:$C$23,"Yes",'Survey Raw'!$O$5:$O$23,"*Ask in a group chat*")</f>
        <v>8</v>
      </c>
      <c r="C48" s="10" t="n">
        <f aca="false">IF($B$4=0,0,B48/$B$4)</f>
        <v>0.533333333333333</v>
      </c>
    </row>
    <row r="49" customFormat="false" ht="15" hidden="false" customHeight="false" outlineLevel="0" collapsed="false">
      <c r="A49" s="4" t="s">
        <v>137</v>
      </c>
      <c r="B49" s="6" t="n">
        <f aca="false">COUNTIFS('Survey Raw'!$C$5:$C$23,"Yes",'Survey Raw'!$O$5:$O$23,"*Set a phone timer*")</f>
        <v>6</v>
      </c>
      <c r="C49" s="10" t="n">
        <f aca="false">IF($B$4=0,0,B49/$B$4)</f>
        <v>0.4</v>
      </c>
    </row>
    <row r="50" customFormat="false" ht="15" hidden="false" customHeight="false" outlineLevel="0" collapsed="false">
      <c r="A50" s="4" t="s">
        <v>109</v>
      </c>
      <c r="B50" s="6" t="n">
        <f aca="false">COUNTIFS('Survey Raw'!$C$5:$C$23,"Yes",'Survey Raw'!$O$5:$O$23,"*Laundry schedule*")</f>
        <v>3</v>
      </c>
      <c r="C50" s="10" t="n">
        <f aca="false">IF($B$4=0,0,B50/$B$4)</f>
        <v>0.2</v>
      </c>
    </row>
    <row r="51" customFormat="false" ht="15" hidden="false" customHeight="false" outlineLevel="0" collapsed="false">
      <c r="A51" s="4" t="s">
        <v>138</v>
      </c>
      <c r="B51" s="6" t="n">
        <f aca="false">COUNTIFS('Survey Raw'!$C$5:$C$23,"Yes",'Survey Raw'!$O$5:$O$23,"*Note on the machine*")</f>
        <v>0</v>
      </c>
      <c r="C51" s="10" t="n">
        <f aca="false">IF($B$4=0,0,B51/$B$4)</f>
        <v>0</v>
      </c>
    </row>
    <row r="52" customFormat="false" ht="15" hidden="false" customHeight="false" outlineLevel="0" collapsed="false">
      <c r="A52" s="4" t="s">
        <v>68</v>
      </c>
      <c r="B52" s="6" t="n">
        <f aca="false">COUNTIFS('Survey Raw'!$C$5:$C$23,"Yes",'Survey Raw'!$O$5:$O$23,"*Nothing*")</f>
        <v>2</v>
      </c>
      <c r="C52" s="10" t="n">
        <f aca="false">IF($B$4=0,0,B52/$B$4)</f>
        <v>0.133333333333333</v>
      </c>
    </row>
    <row r="53" customFormat="false" ht="15" hidden="false" customHeight="false" outlineLevel="0" collapsed="false">
      <c r="A53" s="4" t="s">
        <v>65</v>
      </c>
      <c r="B53" s="6" t="n">
        <f aca="false">COUNTIFS('Survey Raw'!$C$5:$C$23,"Yes",'Survey Raw'!$O$5:$O$23,"*Other*")</f>
        <v>1</v>
      </c>
      <c r="C53" s="10" t="n">
        <f aca="false">IF($B$4=0,0,B53/$B$4)</f>
        <v>0.0666666666666667</v>
      </c>
    </row>
    <row r="55" customFormat="false" ht="15" hidden="false" customHeight="false" outlineLevel="0" collapsed="false">
      <c r="A55" s="9" t="s">
        <v>37</v>
      </c>
      <c r="B55" s="5" t="s">
        <v>113</v>
      </c>
      <c r="C55" s="5" t="s">
        <v>114</v>
      </c>
    </row>
    <row r="56" customFormat="false" ht="15" hidden="false" customHeight="false" outlineLevel="0" collapsed="false">
      <c r="A56" s="4" t="s">
        <v>48</v>
      </c>
      <c r="B56" s="6" t="n">
        <f aca="false">COUNTIFS('Survey Raw'!$C$5:$C$23,"Yes",'Survey Raw'!$P$5:$P$23,"WhatsApp")</f>
        <v>10</v>
      </c>
      <c r="C56" s="10" t="n">
        <f aca="false">IF($B$4=0,0,B56/$B$4)</f>
        <v>0.666666666666667</v>
      </c>
    </row>
    <row r="57" customFormat="false" ht="15" hidden="false" customHeight="false" outlineLevel="0" collapsed="false">
      <c r="A57" s="4" t="s">
        <v>139</v>
      </c>
      <c r="B57" s="6" t="n">
        <f aca="false">COUNTIFS('Survey Raw'!$C$5:$C$23,"Yes",'Survey Raw'!$P$5:$P$23,"Telegram")</f>
        <v>0</v>
      </c>
      <c r="C57" s="10" t="n">
        <f aca="false">IF($B$4=0,0,B57/$B$4)</f>
        <v>0</v>
      </c>
    </row>
    <row r="58" customFormat="false" ht="15" hidden="false" customHeight="false" outlineLevel="0" collapsed="false">
      <c r="A58" s="4" t="s">
        <v>65</v>
      </c>
      <c r="B58" s="6" t="n">
        <f aca="false">COUNTIFS('Survey Raw'!$C$5:$C$23,"Yes",'Survey Raw'!$P$5:$P$23,"Other")</f>
        <v>5</v>
      </c>
      <c r="C58" s="10" t="n">
        <f aca="false">IF($B$4=0,0,B58/$B$4)</f>
        <v>0.333333333333333</v>
      </c>
    </row>
    <row r="60" customFormat="false" ht="15" hidden="false" customHeight="false" outlineLevel="0" collapsed="false">
      <c r="A60" s="9" t="s">
        <v>140</v>
      </c>
      <c r="B60" s="5" t="s">
        <v>113</v>
      </c>
      <c r="C60" s="5" t="s">
        <v>114</v>
      </c>
    </row>
    <row r="61" customFormat="false" ht="15" hidden="false" customHeight="false" outlineLevel="0" collapsed="false">
      <c r="A61" s="4" t="s">
        <v>69</v>
      </c>
      <c r="B61" s="6" t="n">
        <f aca="false">COUNTIFS('Survey Raw'!$C$5:$C$23,"Yes",'Survey Raw'!$Q$5:$Q$23,"S$0")</f>
        <v>6</v>
      </c>
      <c r="C61" s="10" t="n">
        <f aca="false">IF($B$4=0,0,B61/$B$4)</f>
        <v>0.4</v>
      </c>
    </row>
    <row r="62" customFormat="false" ht="15" hidden="false" customHeight="false" outlineLevel="0" collapsed="false">
      <c r="A62" s="4" t="s">
        <v>61</v>
      </c>
      <c r="B62" s="6" t="n">
        <f aca="false">COUNTIFS('Survey Raw'!$C$5:$C$23,"Yes",'Survey Raw'!$Q$5:$Q$23,"Up to S$10")</f>
        <v>4</v>
      </c>
      <c r="C62" s="10" t="n">
        <f aca="false">IF($B$4=0,0,B62/$B$4)</f>
        <v>0.266666666666667</v>
      </c>
    </row>
    <row r="63" customFormat="false" ht="15" hidden="false" customHeight="false" outlineLevel="0" collapsed="false">
      <c r="A63" s="4" t="s">
        <v>49</v>
      </c>
      <c r="B63" s="6" t="n">
        <f aca="false">COUNTIFS('Survey Raw'!$C$5:$C$23,"Yes",'Survey Raw'!$Q$5:$Q$23,"S$11–30")</f>
        <v>4</v>
      </c>
      <c r="C63" s="10" t="n">
        <f aca="false">IF($B$4=0,0,B63/$B$4)</f>
        <v>0.266666666666667</v>
      </c>
    </row>
    <row r="64" customFormat="false" ht="15" hidden="false" customHeight="false" outlineLevel="0" collapsed="false">
      <c r="A64" s="4" t="s">
        <v>75</v>
      </c>
      <c r="B64" s="6" t="n">
        <f aca="false">COUNTIFS('Survey Raw'!$C$5:$C$23,"Yes",'Survey Raw'!$Q$5:$Q$23,"S$31–50")</f>
        <v>1</v>
      </c>
      <c r="C64" s="10" t="n">
        <f aca="false">IF($B$4=0,0,B64/$B$4)</f>
        <v>0.0666666666666667</v>
      </c>
    </row>
    <row r="65" customFormat="false" ht="15" hidden="false" customHeight="false" outlineLevel="0" collapsed="false">
      <c r="A65" s="4" t="s">
        <v>141</v>
      </c>
      <c r="B65" s="6" t="n">
        <f aca="false">COUNTIFS('Survey Raw'!$C$5:$C$23,"Yes",'Survey Raw'!$Q$5:$Q$23,"More than S$50")</f>
        <v>0</v>
      </c>
      <c r="C65" s="10" t="n">
        <f aca="false">IF($B$4=0,0,B65/$B$4)</f>
        <v>0</v>
      </c>
    </row>
    <row r="67" customFormat="false" ht="15" hidden="false" customHeight="false" outlineLevel="0" collapsed="false">
      <c r="A67" s="4" t="s">
        <v>142</v>
      </c>
      <c r="B67" s="6" t="n">
        <f aca="false">COUNTIFS('Survey Raw'!$C$5:$C$23,"Yes",'Survey Raw'!$R$5:$R$23,"Yes")</f>
        <v>4</v>
      </c>
    </row>
    <row r="69" customFormat="false" ht="15" hidden="false" customHeight="false" outlineLevel="0" collapsed="false">
      <c r="A69" s="4" t="s">
        <v>143</v>
      </c>
      <c r="B69" s="6" t="n">
        <f aca="false">COUNTA('Survey Raw'!$A$5:$A$23)-COUNTIF('Survey Raw'!$D$5:$D$23,"1–2")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42" hidden="false" customHeight="true" outlineLevel="0" collapsed="false">
      <c r="A4" s="5" t="s">
        <v>146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151</v>
      </c>
    </row>
    <row r="5" customFormat="false" ht="23.85" hidden="false" customHeight="false" outlineLevel="0" collapsed="false">
      <c r="A5" s="6" t="n">
        <v>3</v>
      </c>
      <c r="B5" s="4" t="s">
        <v>152</v>
      </c>
      <c r="C5" s="4" t="s">
        <v>153</v>
      </c>
      <c r="D5" s="4" t="s">
        <v>154</v>
      </c>
      <c r="E5" s="4" t="s">
        <v>155</v>
      </c>
      <c r="F5" s="13" t="s">
        <v>156</v>
      </c>
    </row>
    <row r="6" customFormat="false" ht="23.85" hidden="false" customHeight="false" outlineLevel="0" collapsed="false">
      <c r="A6" s="6" t="n">
        <v>3</v>
      </c>
      <c r="B6" s="4"/>
      <c r="C6" s="4" t="s">
        <v>157</v>
      </c>
      <c r="D6" s="4" t="s">
        <v>158</v>
      </c>
      <c r="E6" s="4" t="s">
        <v>155</v>
      </c>
      <c r="F6" s="13" t="s">
        <v>156</v>
      </c>
    </row>
    <row r="7" customFormat="false" ht="23.85" hidden="false" customHeight="false" outlineLevel="0" collapsed="false">
      <c r="A7" s="6" t="n">
        <v>3</v>
      </c>
      <c r="B7" s="4"/>
      <c r="C7" s="4" t="s">
        <v>159</v>
      </c>
      <c r="D7" s="4" t="s">
        <v>160</v>
      </c>
      <c r="E7" s="4" t="s">
        <v>161</v>
      </c>
      <c r="F7" s="13" t="s">
        <v>162</v>
      </c>
    </row>
    <row r="8" customFormat="false" ht="23.85" hidden="false" customHeight="false" outlineLevel="0" collapsed="false">
      <c r="A8" s="6" t="n">
        <v>3</v>
      </c>
      <c r="B8" s="4"/>
      <c r="C8" s="4" t="s">
        <v>163</v>
      </c>
      <c r="D8" s="4" t="s">
        <v>164</v>
      </c>
      <c r="E8" s="4" t="s">
        <v>155</v>
      </c>
      <c r="F8" s="13" t="s">
        <v>156</v>
      </c>
    </row>
    <row r="9" customFormat="false" ht="23.85" hidden="false" customHeight="false" outlineLevel="0" collapsed="false">
      <c r="A9" s="6" t="n">
        <v>4</v>
      </c>
      <c r="B9" s="4" t="s">
        <v>165</v>
      </c>
      <c r="C9" s="4" t="s">
        <v>166</v>
      </c>
      <c r="D9" s="4" t="s">
        <v>167</v>
      </c>
      <c r="E9" s="4" t="s">
        <v>155</v>
      </c>
      <c r="F9" s="13" t="s">
        <v>156</v>
      </c>
    </row>
    <row r="10" customFormat="false" ht="15" hidden="false" customHeight="false" outlineLevel="0" collapsed="false">
      <c r="A10" s="6" t="n">
        <v>4</v>
      </c>
      <c r="B10" s="4"/>
      <c r="C10" s="4" t="s">
        <v>168</v>
      </c>
      <c r="D10" s="4" t="s">
        <v>169</v>
      </c>
      <c r="E10" s="4" t="s">
        <v>170</v>
      </c>
      <c r="F10" s="14" t="s">
        <v>171</v>
      </c>
    </row>
    <row r="11" customFormat="false" ht="23.85" hidden="false" customHeight="false" outlineLevel="0" collapsed="false">
      <c r="A11" s="6" t="n">
        <v>6</v>
      </c>
      <c r="B11" s="4" t="s">
        <v>172</v>
      </c>
      <c r="C11" s="4" t="s">
        <v>173</v>
      </c>
      <c r="D11" s="4" t="s">
        <v>174</v>
      </c>
      <c r="E11" s="4" t="s">
        <v>161</v>
      </c>
      <c r="F11" s="13" t="s">
        <v>175</v>
      </c>
    </row>
    <row r="12" customFormat="false" ht="23.85" hidden="false" customHeight="false" outlineLevel="0" collapsed="false">
      <c r="A12" s="6" t="n">
        <v>6</v>
      </c>
      <c r="B12" s="4"/>
      <c r="C12" s="4" t="s">
        <v>176</v>
      </c>
      <c r="D12" s="4" t="s">
        <v>177</v>
      </c>
      <c r="E12" s="4" t="s">
        <v>178</v>
      </c>
      <c r="F12" s="14" t="s">
        <v>171</v>
      </c>
    </row>
    <row r="13" customFormat="false" ht="15" hidden="false" customHeight="false" outlineLevel="0" collapsed="false">
      <c r="A13" s="6" t="n">
        <v>8</v>
      </c>
      <c r="B13" s="4" t="s">
        <v>179</v>
      </c>
      <c r="C13" s="4" t="s">
        <v>180</v>
      </c>
      <c r="D13" s="4" t="s">
        <v>181</v>
      </c>
      <c r="E13" s="4" t="s">
        <v>178</v>
      </c>
      <c r="F13" s="14" t="s">
        <v>171</v>
      </c>
    </row>
    <row r="14" customFormat="false" ht="23.85" hidden="false" customHeight="false" outlineLevel="0" collapsed="false">
      <c r="A14" s="6" t="n">
        <v>9</v>
      </c>
      <c r="B14" s="4" t="s">
        <v>182</v>
      </c>
      <c r="C14" s="4" t="s">
        <v>183</v>
      </c>
      <c r="D14" s="4" t="s">
        <v>184</v>
      </c>
      <c r="E14" s="4" t="s">
        <v>6</v>
      </c>
      <c r="F14" s="13" t="s">
        <v>156</v>
      </c>
    </row>
    <row r="15" customFormat="false" ht="15" hidden="false" customHeight="false" outlineLevel="0" collapsed="false">
      <c r="A15" s="6" t="n">
        <v>9</v>
      </c>
      <c r="B15" s="4"/>
      <c r="C15" s="4" t="s">
        <v>185</v>
      </c>
      <c r="D15" s="4" t="s">
        <v>186</v>
      </c>
      <c r="E15" s="4" t="s">
        <v>178</v>
      </c>
      <c r="F15" s="14" t="s">
        <v>171</v>
      </c>
    </row>
    <row r="16" customFormat="false" ht="15" hidden="false" customHeight="false" outlineLevel="0" collapsed="false">
      <c r="A16" s="6" t="n">
        <v>11</v>
      </c>
      <c r="B16" s="4" t="s">
        <v>187</v>
      </c>
      <c r="C16" s="4" t="s">
        <v>188</v>
      </c>
      <c r="D16" s="4" t="s">
        <v>189</v>
      </c>
      <c r="E16" s="4" t="s">
        <v>6</v>
      </c>
      <c r="F16" s="13" t="s">
        <v>190</v>
      </c>
    </row>
    <row r="17" customFormat="false" ht="23.85" hidden="false" customHeight="false" outlineLevel="0" collapsed="false">
      <c r="A17" s="6" t="n">
        <v>17</v>
      </c>
      <c r="B17" s="4" t="s">
        <v>191</v>
      </c>
      <c r="C17" s="4" t="s">
        <v>192</v>
      </c>
      <c r="D17" s="4" t="s">
        <v>193</v>
      </c>
      <c r="E17" s="4" t="s">
        <v>155</v>
      </c>
      <c r="F17" s="13" t="s">
        <v>156</v>
      </c>
    </row>
    <row r="18" customFormat="false" ht="23.85" hidden="false" customHeight="false" outlineLevel="0" collapsed="false">
      <c r="A18" s="6" t="n">
        <v>19</v>
      </c>
      <c r="B18" s="4" t="s">
        <v>194</v>
      </c>
      <c r="C18" s="4" t="s">
        <v>195</v>
      </c>
      <c r="D18" s="4" t="s">
        <v>196</v>
      </c>
      <c r="E18" s="4" t="s">
        <v>6</v>
      </c>
      <c r="F18" s="13" t="s">
        <v>156</v>
      </c>
    </row>
    <row r="19" customFormat="false" ht="23.85" hidden="false" customHeight="false" outlineLevel="0" collapsed="false">
      <c r="A19" s="6" t="n">
        <v>20</v>
      </c>
      <c r="B19" s="4" t="s">
        <v>197</v>
      </c>
      <c r="C19" s="4" t="s">
        <v>198</v>
      </c>
      <c r="D19" s="4" t="s">
        <v>199</v>
      </c>
      <c r="E19" s="4" t="s">
        <v>155</v>
      </c>
      <c r="F19" s="13" t="s">
        <v>156</v>
      </c>
    </row>
    <row r="20" customFormat="false" ht="23.85" hidden="false" customHeight="false" outlineLevel="0" collapsed="false">
      <c r="A20" s="6" t="n">
        <v>20</v>
      </c>
      <c r="B20" s="4"/>
      <c r="C20" s="4" t="s">
        <v>200</v>
      </c>
      <c r="D20" s="4" t="s">
        <v>201</v>
      </c>
      <c r="E20" s="4" t="s">
        <v>202</v>
      </c>
      <c r="F20" s="1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42" hidden="false" customHeight="true" outlineLevel="0" collapsed="false">
      <c r="A4" s="5" t="s">
        <v>205</v>
      </c>
      <c r="B4" s="5" t="s">
        <v>206</v>
      </c>
      <c r="C4" s="5" t="s">
        <v>207</v>
      </c>
      <c r="D4" s="5" t="s">
        <v>208</v>
      </c>
      <c r="E4" s="5" t="s">
        <v>209</v>
      </c>
    </row>
    <row r="5" customFormat="false" ht="23.85" hidden="false" customHeight="false" outlineLevel="0" collapsed="false">
      <c r="A5" s="6" t="n">
        <v>1</v>
      </c>
      <c r="B5" s="4" t="s">
        <v>210</v>
      </c>
      <c r="C5" s="4" t="s">
        <v>211</v>
      </c>
      <c r="D5" s="4" t="s">
        <v>212</v>
      </c>
      <c r="E5" s="15"/>
    </row>
    <row r="6" customFormat="false" ht="15" hidden="false" customHeight="false" outlineLevel="0" collapsed="false">
      <c r="A6" s="6" t="n">
        <v>2</v>
      </c>
      <c r="B6" s="4" t="s">
        <v>213</v>
      </c>
      <c r="C6" s="4" t="s">
        <v>214</v>
      </c>
      <c r="D6" s="4" t="s">
        <v>215</v>
      </c>
      <c r="E6" s="15" t="s">
        <v>216</v>
      </c>
    </row>
    <row r="7" customFormat="false" ht="23.85" hidden="false" customHeight="false" outlineLevel="0" collapsed="false">
      <c r="A7" s="6" t="n">
        <v>3</v>
      </c>
      <c r="B7" s="4" t="s">
        <v>217</v>
      </c>
      <c r="C7" s="4" t="s">
        <v>218</v>
      </c>
      <c r="D7" s="4" t="s">
        <v>219</v>
      </c>
      <c r="E7" s="15" t="s">
        <v>220</v>
      </c>
    </row>
    <row r="8" customFormat="false" ht="15" hidden="false" customHeight="false" outlineLevel="0" collapsed="false">
      <c r="A8" s="6" t="n">
        <v>4</v>
      </c>
      <c r="B8" s="4" t="s">
        <v>221</v>
      </c>
      <c r="C8" s="4" t="s">
        <v>222</v>
      </c>
      <c r="D8" s="4" t="s">
        <v>223</v>
      </c>
      <c r="E8" s="15"/>
    </row>
    <row r="9" customFormat="false" ht="15" hidden="false" customHeight="false" outlineLevel="0" collapsed="false">
      <c r="A9" s="6" t="n">
        <v>5</v>
      </c>
      <c r="B9" s="4" t="s">
        <v>224</v>
      </c>
      <c r="C9" s="4" t="s">
        <v>225</v>
      </c>
      <c r="D9" s="4" t="s">
        <v>170</v>
      </c>
      <c r="E9" s="15"/>
    </row>
    <row r="10" customFormat="false" ht="23.85" hidden="false" customHeight="false" outlineLevel="0" collapsed="false">
      <c r="A10" s="6" t="n">
        <v>6</v>
      </c>
      <c r="B10" s="4" t="s">
        <v>226</v>
      </c>
      <c r="C10" s="4" t="s">
        <v>227</v>
      </c>
      <c r="D10" s="4" t="s">
        <v>228</v>
      </c>
      <c r="E10" s="15"/>
    </row>
    <row r="11" customFormat="false" ht="15" hidden="false" customHeight="false" outlineLevel="0" collapsed="false">
      <c r="A11" s="6" t="n">
        <v>7</v>
      </c>
      <c r="B11" s="4" t="s">
        <v>229</v>
      </c>
      <c r="C11" s="4" t="s">
        <v>230</v>
      </c>
      <c r="D11" s="4" t="s">
        <v>170</v>
      </c>
      <c r="E11" s="15"/>
    </row>
    <row r="12" customFormat="false" ht="15" hidden="false" customHeight="false" outlineLevel="0" collapsed="false">
      <c r="A12" s="6" t="n">
        <v>8</v>
      </c>
      <c r="B12" s="4" t="s">
        <v>231</v>
      </c>
      <c r="C12" s="4" t="s">
        <v>232</v>
      </c>
      <c r="D12" s="4" t="s">
        <v>233</v>
      </c>
      <c r="E1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2026-10-03T02:25:15Z</dcterms:created>
  <dc:creator>openpyxl</dc:creator>
  <dc:description/>
  <dc:language>en-US</dc:language>
  <cp:lastModifiedBy/>
  <dcterms:modified xsi:type="dcterms:W3CDTF">2026-10-03T02:25:16Z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