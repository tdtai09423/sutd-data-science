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tranduytai/Documents/SUTD_Master_Data_Science/Sem2/InnovationByDesign/GroupProject/"/>
    </mc:Choice>
  </mc:AlternateContent>
  <xr:revisionPtr revIDLastSave="0" documentId="13_ncr:1_{BAF5F834-7351-E149-9218-E97A2CC23157}" xr6:coauthVersionLast="47" xr6:coauthVersionMax="47" xr10:uidLastSave="{00000000-0000-0000-0000-000000000000}"/>
  <bookViews>
    <workbookView xWindow="0" yWindow="660" windowWidth="34560" windowHeight="20140" tabRatio="500" xr2:uid="{00000000-000D-0000-FFFF-FFFF00000000}"/>
  </bookViews>
  <sheets>
    <sheet name="Tasks" sheetId="1" r:id="rId1"/>
    <sheet name="Budget" sheetId="2" r:id="rId2"/>
    <sheet name="Existing Solutions" sheetId="3" r:id="rId3"/>
    <sheet name="User &amp; Stakeholder Research" sheetId="4" r:id="rId4"/>
  </sheets>
  <definedNames>
    <definedName name="_xlnm._FilterDatabase" localSheetId="0" hidden="1">Tasks!$A$5:$H$23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8" i="4" l="1"/>
  <c r="M7" i="4"/>
  <c r="M6" i="4"/>
  <c r="M5" i="4"/>
  <c r="F25" i="2"/>
  <c r="F26" i="2" s="1"/>
  <c r="C4" i="2" s="1"/>
  <c r="C5" i="2" s="1"/>
  <c r="F6" i="2" s="1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C6" i="2"/>
  <c r="F6" i="1"/>
  <c r="F3" i="1"/>
  <c r="C23" i="3"/>
  <c r="C25" i="3"/>
  <c r="C24" i="3"/>
</calcChain>
</file>

<file path=xl/sharedStrings.xml><?xml version="1.0" encoding="utf-8"?>
<sst xmlns="http://schemas.openxmlformats.org/spreadsheetml/2006/main" count="109" uniqueCount="102">
  <si>
    <t>WashBot – Tasks (Milestone 1: Discover &amp; Define)</t>
  </si>
  <si>
    <t>Yellow cells = edit. Deadlines are calculated from the start date.</t>
  </si>
  <si>
    <t>Start date</t>
  </si>
  <si>
    <t>Done:</t>
  </si>
  <si>
    <t>ID</t>
  </si>
  <si>
    <t>Week</t>
  </si>
  <si>
    <t>Rubric criterion</t>
  </si>
  <si>
    <t>Task</t>
  </si>
  <si>
    <t>Owner</t>
  </si>
  <si>
    <t>Deadline</t>
  </si>
  <si>
    <t>Status</t>
  </si>
  <si>
    <t>Notes</t>
  </si>
  <si>
    <t>T01</t>
  </si>
  <si>
    <t>General</t>
  </si>
  <si>
    <t>Kickoff: agree roles, meeting schedule, shared Drive</t>
  </si>
  <si>
    <t>Member 1 (Lead)</t>
  </si>
  <si>
    <t>Not started</t>
  </si>
  <si>
    <t>T02</t>
  </si>
  <si>
    <t>T03</t>
  </si>
  <si>
    <t>T04</t>
  </si>
  <si>
    <t>Member 2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</si>
  <si>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</si>
  <si>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</si>
  <si>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</si>
  <si>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</si>
  <si>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</si>
  <si>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</si>
  <si>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</si>
  <si>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</si>
  <si>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</si>
  <si>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</si>
  <si>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</si>
  <si>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</si>
  <si>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</si>
  <si>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</si>
  <si>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Budget (SGD)</t>
  </si>
  <si>
    <t>Fill in unit prices when you have quotes. Keep receipts; link them in the last column.</t>
  </si>
  <si>
    <t>Total budget (SGD)</t>
  </si>
  <si>
    <t>Team budget</t>
  </si>
  <si>
    <t>Planned spend</t>
  </si>
  <si>
    <t>Remaining</t>
  </si>
  <si>
    <t>Spent (Purchased only)</t>
  </si>
  <si>
    <t>#</t>
  </si>
  <si>
    <t>Item</t>
  </si>
  <si>
    <t>Purpose / linked task</t>
  </si>
  <si>
    <t>Qty</t>
  </si>
  <si>
    <t>Unit price (SGD)</t>
  </si>
  <si>
    <t>Total (SGD)</t>
  </si>
  <si>
    <t>Receipt / link</t>
  </si>
  <si>
    <t>Participant thank-you vouchers</t>
  </si>
  <si>
    <t>Incentive for interviews (T06, T13, T15)</t>
  </si>
  <si>
    <t>Planned</t>
  </si>
  <si>
    <t>Printing</t>
  </si>
  <si>
    <t>Consent forms, interview guides, journey maps</t>
  </si>
  <si>
    <t>Sticky notes, markers, A1 paper</t>
  </si>
  <si>
    <t>Affinity mapping workshop (T13)</t>
  </si>
  <si>
    <t>Transport to observation sites</t>
  </si>
  <si>
    <t>Field observation (T07, T15)</t>
  </si>
  <si>
    <t>Prototype parts / equipment (if needed)</t>
  </si>
  <si>
    <t>Only after the problem is defined (Milestone 2)</t>
  </si>
  <si>
    <t>Contingency</t>
  </si>
  <si>
    <t>Unplanned costs</t>
  </si>
  <si>
    <t>TOTAL</t>
  </si>
  <si>
    <t>Existing-solution research (Criterion 3)</t>
  </si>
  <si>
    <t>Cover all three types: Direct (same approach), Indirect (different approach), Non-consumption (DIY / do nothing).</t>
  </si>
  <si>
    <t>Solution</t>
  </si>
  <si>
    <t>Type</t>
  </si>
  <si>
    <t>What it does</t>
  </si>
  <si>
    <t>Price (SGD)</t>
  </si>
  <si>
    <t>Strengths</t>
  </si>
  <si>
    <t>Weaknesses / gaps</t>
  </si>
  <si>
    <t>Source / evidence</t>
  </si>
  <si>
    <t>Non-consumption</t>
  </si>
  <si>
    <t>Count by type</t>
  </si>
  <si>
    <t>Direct</t>
  </si>
  <si>
    <t>Indirect</t>
  </si>
  <si>
    <t>Opportunity gap:</t>
  </si>
  <si>
    <t>User &amp; stakeholder research (Criterion 2)</t>
  </si>
  <si>
    <t>Log each session within 24h. Use codes (P01, P02…) instead of real names.</t>
  </si>
  <si>
    <t>Code</t>
  </si>
  <si>
    <t>Date</t>
  </si>
  <si>
    <t>Method</t>
  </si>
  <si>
    <t>Stakeholder type</t>
  </si>
  <si>
    <t>Done by</t>
  </si>
  <si>
    <t>Consent?</t>
  </si>
  <si>
    <t>Key quote</t>
  </si>
  <si>
    <t>Pain point</t>
  </si>
  <si>
    <t>Insight</t>
  </si>
  <si>
    <t>What changed in our understanding?</t>
  </si>
  <si>
    <t>Summary</t>
  </si>
  <si>
    <t>P00 (EX.)</t>
  </si>
  <si>
    <t>Interview</t>
  </si>
  <si>
    <t>End user</t>
  </si>
  <si>
    <t>Yes</t>
  </si>
  <si>
    <t>"Participant's own words"</t>
  </si>
  <si>
    <t>Specific difficulty</t>
  </si>
  <si>
    <t>Behaviour + underlying reason</t>
  </si>
  <si>
    <t>We assumed X, it's actually Y</t>
  </si>
  <si>
    <t>Interviews</t>
  </si>
  <si>
    <t>Observations</t>
  </si>
  <si>
    <t>Follow-ups</t>
  </si>
  <si>
    <t>Total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</si>
</sst>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dd\ dd/mm"/>
    <numFmt numFmtId="166" formatCode="&quot;S$&quot;#,##0.00"/>
  </numFmts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1"/>
      <color rgb="FF1F386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2" borderId="1" xfId="0" applyNumberFormat="1" applyFont="1" applyFill="1" applyBorder="1"/>
    <xf numFmtId="0" fontId="3" fillId="0" borderId="0" xfId="0" applyFont="1" applyAlignment="1">
      <alignment horizontal="right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165" fontId="6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top" wrapText="1"/>
    </xf>
    <xf numFmtId="166" fontId="4" fillId="2" borderId="1" xfId="0" applyNumberFormat="1" applyFont="1" applyFill="1" applyBorder="1"/>
    <xf numFmtId="166" fontId="0" fillId="0" borderId="1" xfId="0" applyNumberFormat="1" applyBorder="1"/>
    <xf numFmtId="166" fontId="3" fillId="0" borderId="0" xfId="0" applyNumberFormat="1" applyFont="1"/>
    <xf numFmtId="0" fontId="7" fillId="0" borderId="0" xfId="0" applyFont="1"/>
    <xf numFmtId="166" fontId="4" fillId="2" borderId="1" xfId="0" applyNumberFormat="1" applyFont="1" applyFill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8" fillId="0" borderId="0" xfId="0" applyFont="1"/>
    <xf numFmtId="164" fontId="2" fillId="4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b/>
        <color rgb="FFC00000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597"/>
  </sheetPr>
  <dimension ref="A1:H23"/>
  <sheetViews>
    <sheetView showGridLines="0" tabSelected="1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29" sqref="D29"/>
    </sheetView>
  </sheetViews>
  <sheetFormatPr baseColWidth="10" defaultColWidth="8.6640625" defaultRowHeight="15" x14ac:dyDescent="0.2"/>
  <cols>
    <col min="1" max="1" width="7" customWidth="1"/>
    <col min="2" max="2" width="8" customWidth="1"/>
    <col min="3" max="3" width="26" customWidth="1"/>
    <col min="4" max="4" width="52" customWidth="1"/>
    <col min="5" max="5" width="18" customWidth="1"/>
    <col min="6" max="6" width="13" customWidth="1"/>
    <col min="7" max="7" width="14" customWidth="1"/>
    <col min="8" max="8" width="30" customWidth="1"/>
  </cols>
  <sheetData>
    <row r="1" spans="1:8" ht="18" x14ac:dyDescent="0.2">
      <c r="A1" s="2" t="s">
        <v>0</v>
      </c>
    </row>
    <row r="2" spans="1:8" x14ac:dyDescent="0.2">
      <c r="A2" s="3" t="s">
        <v>1</v>
      </c>
    </row>
    <row r="3" spans="1:8" x14ac:dyDescent="0.2">
      <c r="A3" s="4" t="s">
        <v>2</v>
      </c>
      <c r="C3" s="5">
        <v>46293</v>
      </c>
      <c r="E3" s="6" t="s">
        <v>3</v>
      </c>
      <c r="F3" s="4" t="str">
        <f>COUNTIF(G6:G23,"Done")&amp;" / "&amp;COUNTA(D6:D23)</f>
        <v>0 / 1</v>
      </c>
    </row>
    <row r="5" spans="1:8" ht="30" customHeight="1" x14ac:dyDescent="0.2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</row>
    <row r="6" spans="1:8" x14ac:dyDescent="0.2">
      <c r="A6" s="8" t="s">
        <v>12</v>
      </c>
      <c r="B6" s="8">
        <v>1</v>
      </c>
      <c r="C6" s="9" t="s">
        <v>13</v>
      </c>
      <c r="D6" s="9" t="s">
        <v>14</v>
      </c>
      <c r="E6" s="10" t="s">
        <v>15</v>
      </c>
      <c r="F6" s="11">
        <f>$C$3+0</f>
        <v>46293</v>
      </c>
      <c r="G6" s="12" t="s">
        <v>16</v>
      </c>
      <c r="H6" s="13"/>
    </row>
    <row r="7" spans="1:8" x14ac:dyDescent="0.2">
      <c r="A7" s="8" t="s">
        <v>17</v>
      </c>
      <c r="B7" s="8">
        <v>1</v>
      </c>
      <c r="C7" s="9"/>
      <c r="D7" s="9"/>
      <c r="E7" s="10"/>
      <c r="F7" s="11"/>
      <c r="G7" s="12"/>
      <c r="H7" s="13"/>
    </row>
    <row r="8" spans="1:8" x14ac:dyDescent="0.2">
      <c r="A8" s="8" t="s">
        <v>18</v>
      </c>
      <c r="B8" s="8">
        <v>1</v>
      </c>
      <c r="C8" s="9"/>
      <c r="D8" s="9"/>
      <c r="E8" s="10"/>
      <c r="F8" s="11"/>
      <c r="G8" s="12"/>
      <c r="H8" s="13"/>
    </row>
    <row r="9" spans="1:8" x14ac:dyDescent="0.2">
      <c r="A9" s="8" t="s">
        <v>19</v>
      </c>
      <c r="B9" s="8">
        <v>1</v>
      </c>
      <c r="C9" s="9"/>
      <c r="D9" s="9"/>
      <c r="E9" s="10"/>
      <c r="F9" s="11"/>
      <c r="G9" s="12"/>
      <c r="H9" s="13"/>
    </row>
    <row r="10" spans="1:8" x14ac:dyDescent="0.2">
      <c r="A10" s="8" t="s">
        <v>21</v>
      </c>
      <c r="B10" s="8">
        <v>1</v>
      </c>
      <c r="C10" s="9"/>
      <c r="D10" s="9"/>
      <c r="E10" s="10"/>
      <c r="F10" s="11"/>
      <c r="G10" s="12"/>
      <c r="H10" s="13"/>
    </row>
    <row r="11" spans="1:8" x14ac:dyDescent="0.2">
      <c r="A11" s="8" t="s">
        <v>22</v>
      </c>
      <c r="B11" s="8">
        <v>1</v>
      </c>
      <c r="C11" s="9"/>
      <c r="D11" s="9"/>
      <c r="E11" s="10"/>
      <c r="F11" s="11"/>
      <c r="G11" s="12"/>
      <c r="H11" s="13"/>
    </row>
    <row r="12" spans="1:8" x14ac:dyDescent="0.2">
      <c r="A12" s="8" t="s">
        <v>23</v>
      </c>
      <c r="B12" s="8">
        <v>1</v>
      </c>
      <c r="C12" s="9"/>
      <c r="D12" s="9"/>
      <c r="E12" s="10"/>
      <c r="F12" s="11"/>
      <c r="G12" s="12"/>
      <c r="H12" s="13"/>
    </row>
    <row r="13" spans="1:8" x14ac:dyDescent="0.2">
      <c r="A13" s="8" t="s">
        <v>24</v>
      </c>
      <c r="B13" s="8">
        <v>1</v>
      </c>
      <c r="C13" s="9"/>
      <c r="D13" s="9"/>
      <c r="E13" s="10"/>
      <c r="F13" s="11"/>
      <c r="G13" s="12"/>
      <c r="H13" s="13"/>
    </row>
    <row r="14" spans="1:8" x14ac:dyDescent="0.2">
      <c r="A14" s="8" t="s">
        <v>25</v>
      </c>
      <c r="B14" s="8">
        <v>1</v>
      </c>
      <c r="C14" s="9"/>
      <c r="D14" s="9"/>
      <c r="E14" s="10"/>
      <c r="F14" s="11"/>
      <c r="G14" s="12"/>
      <c r="H14" s="13"/>
    </row>
    <row r="15" spans="1:8" x14ac:dyDescent="0.2">
      <c r="A15" s="8" t="s">
        <v>26</v>
      </c>
      <c r="B15" s="8">
        <v>1</v>
      </c>
      <c r="C15" s="9"/>
      <c r="D15" s="9"/>
      <c r="E15" s="10"/>
      <c r="F15" s="11"/>
      <c r="G15" s="12"/>
      <c r="H15" s="13"/>
    </row>
    <row r="16" spans="1:8" x14ac:dyDescent="0.2">
      <c r="A16" s="8" t="s">
        <v>27</v>
      </c>
      <c r="B16" s="8">
        <v>1</v>
      </c>
      <c r="C16" s="9"/>
      <c r="D16" s="9"/>
      <c r="E16" s="10"/>
      <c r="F16" s="11"/>
      <c r="G16" s="12"/>
      <c r="H16" s="13"/>
    </row>
    <row r="17" spans="1:8" x14ac:dyDescent="0.2">
      <c r="A17" s="8" t="s">
        <v>28</v>
      </c>
      <c r="B17" s="8">
        <v>1</v>
      </c>
      <c r="C17" s="9"/>
      <c r="D17" s="9"/>
      <c r="E17" s="10"/>
      <c r="F17" s="11"/>
      <c r="G17" s="12"/>
      <c r="H17" s="13"/>
    </row>
    <row r="18" spans="1:8" x14ac:dyDescent="0.2">
      <c r="A18" s="8" t="s">
        <v>29</v>
      </c>
      <c r="B18" s="8">
        <v>2</v>
      </c>
      <c r="C18" s="9"/>
      <c r="D18" s="9"/>
      <c r="E18" s="10"/>
      <c r="F18" s="11"/>
      <c r="G18" s="12"/>
      <c r="H18" s="13"/>
    </row>
    <row r="19" spans="1:8" x14ac:dyDescent="0.2">
      <c r="A19" s="8" t="s">
        <v>30</v>
      </c>
      <c r="B19" s="8">
        <v>2</v>
      </c>
      <c r="C19" s="9"/>
      <c r="D19" s="9"/>
      <c r="E19" s="10"/>
      <c r="F19" s="11"/>
      <c r="G19" s="12"/>
      <c r="H19" s="13"/>
    </row>
    <row r="20" spans="1:8" x14ac:dyDescent="0.2">
      <c r="A20" s="8" t="s">
        <v>31</v>
      </c>
      <c r="B20" s="8">
        <v>3</v>
      </c>
      <c r="C20" s="9"/>
      <c r="D20" s="9"/>
      <c r="E20" s="10"/>
      <c r="F20" s="11"/>
      <c r="G20" s="12"/>
      <c r="H20" s="13"/>
    </row>
    <row r="21" spans="1:8" x14ac:dyDescent="0.2">
      <c r="A21" s="8" t="s">
        <v>32</v>
      </c>
      <c r="B21" s="8">
        <v>3</v>
      </c>
      <c r="C21" s="9"/>
      <c r="D21" s="9"/>
      <c r="E21" s="10"/>
      <c r="F21" s="11"/>
      <c r="G21" s="12"/>
      <c r="H21" s="13"/>
    </row>
    <row r="22" spans="1:8" x14ac:dyDescent="0.2">
      <c r="A22" s="8" t="s">
        <v>33</v>
      </c>
      <c r="B22" s="8">
        <v>3</v>
      </c>
      <c r="C22" s="9"/>
      <c r="D22" s="9"/>
      <c r="E22" s="10"/>
      <c r="F22" s="11"/>
      <c r="G22" s="12"/>
      <c r="H22" s="13"/>
    </row>
    <row r="23" spans="1:8" x14ac:dyDescent="0.2">
      <c r="A23" s="8" t="s">
        <v>34</v>
      </c>
      <c r="B23" s="8">
        <v>4</v>
      </c>
      <c r="C23" s="9"/>
      <c r="D23" s="9"/>
      <c r="E23" s="10"/>
      <c r="F23" s="11"/>
      <c r="G23" s="12"/>
      <c r="H23" s="13"/>
    </row>
  </sheetData>
  <autoFilter ref="A5:H23" xr:uid="{00000000-0009-0000-0000-000000000000}"/>
  <conditionalFormatting sqref="F6:F23">
    <cfRule type="expression" dxfId="4" priority="5">
      <formula>AND(F6&lt;TODAY(),G6&lt;&gt;"Done")</formula>
    </cfRule>
  </conditionalFormatting>
  <conditionalFormatting sqref="G6:G53">
    <cfRule type="cellIs" dxfId="3" priority="2" operator="equal">
      <formula>"Done"</formula>
    </cfRule>
    <cfRule type="cellIs" dxfId="2" priority="3" operator="equal">
      <formula>"In progress"</formula>
    </cfRule>
    <cfRule type="cellIs" dxfId="1" priority="4" operator="equal">
      <formula>"Blocked"</formula>
    </cfRule>
  </conditionalFormatting>
  <dataValidations count="1">
    <dataValidation type="list" allowBlank="1" sqref="G6:G53" xr:uid="{00000000-0002-0000-0000-000000000000}">
      <formula1>"Not started,In progress,Done,Blocked"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H26"/>
  <sheetViews>
    <sheetView showGridLines="0" zoomScaleNormal="100" workbookViewId="0"/>
  </sheetViews>
  <sheetFormatPr baseColWidth="10" defaultColWidth="8.6640625" defaultRowHeight="15" x14ac:dyDescent="0.2"/>
  <cols>
    <col min="1" max="1" width="5" customWidth="1"/>
    <col min="2" max="2" width="32" customWidth="1"/>
    <col min="3" max="3" width="36" customWidth="1"/>
    <col min="4" max="4" width="7" customWidth="1"/>
    <col min="5" max="5" width="15" customWidth="1"/>
    <col min="6" max="7" width="13" customWidth="1"/>
    <col min="8" max="8" width="26" customWidth="1"/>
  </cols>
  <sheetData>
    <row r="1" spans="1:8" ht="18" x14ac:dyDescent="0.2">
      <c r="A1" s="2" t="s">
        <v>35</v>
      </c>
    </row>
    <row r="2" spans="1:8" x14ac:dyDescent="0.2">
      <c r="A2" s="3" t="s">
        <v>36</v>
      </c>
    </row>
    <row r="3" spans="1:8" x14ac:dyDescent="0.2">
      <c r="A3" s="4" t="s">
        <v>37</v>
      </c>
      <c r="C3" s="14">
        <v>600</v>
      </c>
      <c r="D3" s="3" t="s">
        <v>38</v>
      </c>
    </row>
    <row r="4" spans="1:8" x14ac:dyDescent="0.2">
      <c r="A4" s="4" t="s">
        <v>39</v>
      </c>
      <c r="C4" s="15">
        <f>F26</f>
        <v>0</v>
      </c>
    </row>
    <row r="5" spans="1:8" x14ac:dyDescent="0.2">
      <c r="A5" s="4" t="s">
        <v>40</v>
      </c>
      <c r="C5" s="15">
        <f>C3-C4</f>
        <v>600</v>
      </c>
    </row>
    <row r="6" spans="1:8" x14ac:dyDescent="0.2">
      <c r="A6" s="4" t="s">
        <v>41</v>
      </c>
      <c r="C6" s="15">
        <f>D6</f>
        <v>0</v>
      </c>
      <c r="D6" s="16"/>
      <c r="F6" s="17" t="str">
        <f>IF(C5&lt;0,"Over budget!","")</f>
        <v/>
      </c>
    </row>
    <row r="7" spans="1:8" ht="30" customHeight="1" x14ac:dyDescent="0.2">
      <c r="A7" s="7" t="s">
        <v>42</v>
      </c>
      <c r="B7" s="7" t="s">
        <v>43</v>
      </c>
      <c r="C7" s="7" t="s">
        <v>44</v>
      </c>
      <c r="D7" s="7" t="s">
        <v>45</v>
      </c>
      <c r="E7" s="7" t="s">
        <v>46</v>
      </c>
      <c r="F7" s="7" t="s">
        <v>47</v>
      </c>
      <c r="G7" s="7" t="s">
        <v>10</v>
      </c>
      <c r="H7" s="7" t="s">
        <v>48</v>
      </c>
    </row>
    <row r="8" spans="1:8" x14ac:dyDescent="0.2">
      <c r="A8" s="8">
        <v>1</v>
      </c>
      <c r="B8" s="10" t="s">
        <v>49</v>
      </c>
      <c r="C8" s="10" t="s">
        <v>50</v>
      </c>
      <c r="D8" s="12">
        <v>12</v>
      </c>
      <c r="E8" s="18"/>
      <c r="F8" s="19" t="str">
        <f t="shared" ref="F8:F25" si="0">IF(E8="","",D8*E8)</f>
        <v/>
      </c>
      <c r="G8" s="12" t="s">
        <v>51</v>
      </c>
      <c r="H8" s="13"/>
    </row>
    <row r="9" spans="1:8" ht="28" x14ac:dyDescent="0.2">
      <c r="A9" s="8">
        <v>2</v>
      </c>
      <c r="B9" s="10" t="s">
        <v>52</v>
      </c>
      <c r="C9" s="10" t="s">
        <v>53</v>
      </c>
      <c r="D9" s="12">
        <v>1</v>
      </c>
      <c r="E9" s="18"/>
      <c r="F9" s="19" t="str">
        <f t="shared" si="0"/>
        <v/>
      </c>
      <c r="G9" s="12" t="s">
        <v>51</v>
      </c>
      <c r="H9" s="13"/>
    </row>
    <row r="10" spans="1:8" x14ac:dyDescent="0.2">
      <c r="A10" s="8">
        <v>3</v>
      </c>
      <c r="B10" s="10" t="s">
        <v>54</v>
      </c>
      <c r="C10" s="10" t="s">
        <v>55</v>
      </c>
      <c r="D10" s="12">
        <v>1</v>
      </c>
      <c r="E10" s="18"/>
      <c r="F10" s="19" t="str">
        <f t="shared" si="0"/>
        <v/>
      </c>
      <c r="G10" s="12" t="s">
        <v>51</v>
      </c>
      <c r="H10" s="13"/>
    </row>
    <row r="11" spans="1:8" x14ac:dyDescent="0.2">
      <c r="A11" s="8">
        <v>4</v>
      </c>
      <c r="B11" s="10" t="s">
        <v>56</v>
      </c>
      <c r="C11" s="10" t="s">
        <v>57</v>
      </c>
      <c r="D11" s="12">
        <v>1</v>
      </c>
      <c r="E11" s="18"/>
      <c r="F11" s="19" t="str">
        <f t="shared" si="0"/>
        <v/>
      </c>
      <c r="G11" s="12" t="s">
        <v>51</v>
      </c>
      <c r="H11" s="13"/>
    </row>
    <row r="12" spans="1:8" ht="28" x14ac:dyDescent="0.2">
      <c r="A12" s="8">
        <v>5</v>
      </c>
      <c r="B12" s="10" t="s">
        <v>58</v>
      </c>
      <c r="C12" s="10" t="s">
        <v>59</v>
      </c>
      <c r="D12" s="12">
        <v>1</v>
      </c>
      <c r="E12" s="18"/>
      <c r="F12" s="19" t="str">
        <f t="shared" si="0"/>
        <v/>
      </c>
      <c r="G12" s="12" t="s">
        <v>51</v>
      </c>
      <c r="H12" s="13"/>
    </row>
    <row r="13" spans="1:8" x14ac:dyDescent="0.2">
      <c r="A13" s="8">
        <v>6</v>
      </c>
      <c r="B13" s="10" t="s">
        <v>60</v>
      </c>
      <c r="C13" s="10" t="s">
        <v>61</v>
      </c>
      <c r="D13" s="12">
        <v>1</v>
      </c>
      <c r="E13" s="18"/>
      <c r="F13" s="19" t="str">
        <f t="shared" si="0"/>
        <v/>
      </c>
      <c r="G13" s="12" t="s">
        <v>51</v>
      </c>
      <c r="H13" s="13"/>
    </row>
    <row r="14" spans="1:8" x14ac:dyDescent="0.2">
      <c r="A14" s="8">
        <v>7</v>
      </c>
      <c r="B14" s="10"/>
      <c r="C14" s="10"/>
      <c r="D14" s="12"/>
      <c r="E14" s="18"/>
      <c r="F14" s="19" t="str">
        <f t="shared" si="0"/>
        <v/>
      </c>
      <c r="G14" s="12"/>
      <c r="H14" s="10"/>
    </row>
    <row r="15" spans="1:8" x14ac:dyDescent="0.2">
      <c r="A15" s="8">
        <v>8</v>
      </c>
      <c r="B15" s="10"/>
      <c r="C15" s="10"/>
      <c r="D15" s="12"/>
      <c r="E15" s="18"/>
      <c r="F15" s="19" t="str">
        <f t="shared" si="0"/>
        <v/>
      </c>
      <c r="G15" s="12"/>
      <c r="H15" s="10"/>
    </row>
    <row r="16" spans="1:8" x14ac:dyDescent="0.2">
      <c r="A16" s="8">
        <v>9</v>
      </c>
      <c r="B16" s="10"/>
      <c r="C16" s="10"/>
      <c r="D16" s="12"/>
      <c r="E16" s="18"/>
      <c r="F16" s="19" t="str">
        <f t="shared" si="0"/>
        <v/>
      </c>
      <c r="G16" s="12"/>
      <c r="H16" s="10"/>
    </row>
    <row r="17" spans="1:8" x14ac:dyDescent="0.2">
      <c r="A17" s="8">
        <v>10</v>
      </c>
      <c r="B17" s="10"/>
      <c r="C17" s="10"/>
      <c r="D17" s="12"/>
      <c r="E17" s="18"/>
      <c r="F17" s="19" t="str">
        <f t="shared" si="0"/>
        <v/>
      </c>
      <c r="G17" s="12"/>
      <c r="H17" s="10"/>
    </row>
    <row r="18" spans="1:8" x14ac:dyDescent="0.2">
      <c r="A18" s="8">
        <v>11</v>
      </c>
      <c r="B18" s="10"/>
      <c r="C18" s="10"/>
      <c r="D18" s="12"/>
      <c r="E18" s="18"/>
      <c r="F18" s="19" t="str">
        <f t="shared" si="0"/>
        <v/>
      </c>
      <c r="G18" s="12"/>
      <c r="H18" s="10"/>
    </row>
    <row r="19" spans="1:8" x14ac:dyDescent="0.2">
      <c r="A19" s="8">
        <v>12</v>
      </c>
      <c r="B19" s="10"/>
      <c r="C19" s="10"/>
      <c r="D19" s="12"/>
      <c r="E19" s="18"/>
      <c r="F19" s="19" t="str">
        <f t="shared" si="0"/>
        <v/>
      </c>
      <c r="G19" s="12"/>
      <c r="H19" s="10"/>
    </row>
    <row r="20" spans="1:8" x14ac:dyDescent="0.2">
      <c r="A20" s="8">
        <v>13</v>
      </c>
      <c r="B20" s="10"/>
      <c r="C20" s="10"/>
      <c r="D20" s="12"/>
      <c r="E20" s="18"/>
      <c r="F20" s="19" t="str">
        <f t="shared" si="0"/>
        <v/>
      </c>
      <c r="G20" s="12"/>
      <c r="H20" s="10"/>
    </row>
    <row r="21" spans="1:8" x14ac:dyDescent="0.2">
      <c r="A21" s="8">
        <v>14</v>
      </c>
      <c r="B21" s="10"/>
      <c r="C21" s="10"/>
      <c r="D21" s="12"/>
      <c r="E21" s="18"/>
      <c r="F21" s="19" t="str">
        <f t="shared" si="0"/>
        <v/>
      </c>
      <c r="G21" s="12"/>
      <c r="H21" s="10"/>
    </row>
    <row r="22" spans="1:8" x14ac:dyDescent="0.2">
      <c r="A22" s="8">
        <v>15</v>
      </c>
      <c r="B22" s="10"/>
      <c r="C22" s="10"/>
      <c r="D22" s="12"/>
      <c r="E22" s="18"/>
      <c r="F22" s="19" t="str">
        <f t="shared" si="0"/>
        <v/>
      </c>
      <c r="G22" s="12"/>
      <c r="H22" s="10"/>
    </row>
    <row r="23" spans="1:8" x14ac:dyDescent="0.2">
      <c r="A23" s="8">
        <v>16</v>
      </c>
      <c r="B23" s="10"/>
      <c r="C23" s="10"/>
      <c r="D23" s="12"/>
      <c r="E23" s="18"/>
      <c r="F23" s="19" t="str">
        <f t="shared" si="0"/>
        <v/>
      </c>
      <c r="G23" s="12"/>
      <c r="H23" s="10"/>
    </row>
    <row r="24" spans="1:8" x14ac:dyDescent="0.2">
      <c r="A24" s="8">
        <v>17</v>
      </c>
      <c r="B24" s="10"/>
      <c r="C24" s="10"/>
      <c r="D24" s="12"/>
      <c r="E24" s="18"/>
      <c r="F24" s="19" t="str">
        <f t="shared" si="0"/>
        <v/>
      </c>
      <c r="G24" s="12"/>
      <c r="H24" s="10"/>
    </row>
    <row r="25" spans="1:8" x14ac:dyDescent="0.2">
      <c r="A25" s="8">
        <v>18</v>
      </c>
      <c r="B25" s="10"/>
      <c r="C25" s="10"/>
      <c r="D25" s="12"/>
      <c r="E25" s="18"/>
      <c r="F25" s="19" t="str">
        <f t="shared" si="0"/>
        <v/>
      </c>
      <c r="G25" s="12"/>
      <c r="H25" s="10"/>
    </row>
    <row r="26" spans="1:8" x14ac:dyDescent="0.2">
      <c r="E26" s="20" t="s">
        <v>62</v>
      </c>
      <c r="F26" s="21">
        <f>SUM(F8:F25)</f>
        <v>0</v>
      </c>
    </row>
  </sheetData>
  <conditionalFormatting sqref="C5">
    <cfRule type="cellIs" dxfId="0" priority="2" operator="lessThan">
      <formula>0</formula>
    </cfRule>
  </conditionalFormatting>
  <dataValidations count="1">
    <dataValidation type="list" allowBlank="1" sqref="G8:G25" xr:uid="{00000000-0002-0000-0100-000000000000}">
      <formula1>"Planned,Approved,Purchased,Cancelled"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55A11"/>
  </sheetPr>
  <dimension ref="A1:H29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18" sqref="G18"/>
    </sheetView>
  </sheetViews>
  <sheetFormatPr baseColWidth="10" defaultColWidth="8.6640625" defaultRowHeight="15" x14ac:dyDescent="0.2"/>
  <cols>
    <col min="1" max="1" width="5" customWidth="1"/>
    <col min="2" max="2" width="24" customWidth="1"/>
    <col min="3" max="3" width="17" customWidth="1"/>
    <col min="4" max="4" width="34" customWidth="1"/>
    <col min="5" max="5" width="13" customWidth="1"/>
    <col min="6" max="7" width="30" customWidth="1"/>
    <col min="8" max="8" width="28" customWidth="1"/>
  </cols>
  <sheetData>
    <row r="1" spans="1:8" ht="18" x14ac:dyDescent="0.2">
      <c r="A1" s="2" t="s">
        <v>63</v>
      </c>
    </row>
    <row r="2" spans="1:8" x14ac:dyDescent="0.2">
      <c r="A2" s="3" t="s">
        <v>64</v>
      </c>
    </row>
    <row r="4" spans="1:8" ht="30" customHeight="1" x14ac:dyDescent="0.2">
      <c r="A4" s="7" t="s">
        <v>42</v>
      </c>
      <c r="B4" s="7" t="s">
        <v>65</v>
      </c>
      <c r="C4" s="7" t="s">
        <v>66</v>
      </c>
      <c r="D4" s="7" t="s">
        <v>67</v>
      </c>
      <c r="E4" s="7" t="s">
        <v>68</v>
      </c>
      <c r="F4" s="7" t="s">
        <v>69</v>
      </c>
      <c r="G4" s="7" t="s">
        <v>70</v>
      </c>
      <c r="H4" s="7" t="s">
        <v>71</v>
      </c>
    </row>
    <row r="5" spans="1:8" x14ac:dyDescent="0.2">
      <c r="A5" s="8">
        <v>1</v>
      </c>
      <c r="B5" s="10"/>
      <c r="C5" s="10"/>
      <c r="D5" s="10"/>
      <c r="E5" s="10"/>
      <c r="F5" s="10"/>
      <c r="G5" s="10"/>
      <c r="H5" s="10"/>
    </row>
    <row r="6" spans="1:8" x14ac:dyDescent="0.2">
      <c r="A6" s="8">
        <v>2</v>
      </c>
      <c r="B6" s="10"/>
      <c r="C6" s="10"/>
      <c r="D6" s="10"/>
      <c r="E6" s="10"/>
      <c r="F6" s="10"/>
      <c r="G6" s="10"/>
      <c r="H6" s="10"/>
    </row>
    <row r="7" spans="1:8" x14ac:dyDescent="0.2">
      <c r="A7" s="8">
        <v>3</v>
      </c>
      <c r="B7" s="10"/>
      <c r="C7" s="10"/>
      <c r="D7" s="10"/>
      <c r="E7" s="10"/>
      <c r="F7" s="10"/>
      <c r="G7" s="10"/>
      <c r="H7" s="10"/>
    </row>
    <row r="8" spans="1:8" x14ac:dyDescent="0.2">
      <c r="A8" s="8">
        <v>4</v>
      </c>
      <c r="B8" s="10"/>
      <c r="C8" s="10"/>
      <c r="D8" s="10"/>
      <c r="E8" s="10"/>
      <c r="F8" s="10"/>
      <c r="G8" s="10"/>
      <c r="H8" s="10"/>
    </row>
    <row r="9" spans="1:8" x14ac:dyDescent="0.2">
      <c r="A9" s="8">
        <v>5</v>
      </c>
      <c r="B9" s="10"/>
      <c r="C9" s="10"/>
      <c r="D9" s="10"/>
      <c r="E9" s="10"/>
      <c r="F9" s="10"/>
      <c r="G9" s="10"/>
      <c r="H9" s="10"/>
    </row>
    <row r="10" spans="1:8" x14ac:dyDescent="0.2">
      <c r="A10" s="8">
        <v>6</v>
      </c>
      <c r="B10" s="10"/>
      <c r="C10" s="10"/>
      <c r="D10" s="10"/>
      <c r="E10" s="10"/>
      <c r="F10" s="10"/>
      <c r="G10" s="10"/>
      <c r="H10" s="10"/>
    </row>
    <row r="11" spans="1:8" x14ac:dyDescent="0.2">
      <c r="A11" s="8">
        <v>7</v>
      </c>
      <c r="B11" s="10"/>
      <c r="C11" s="10"/>
      <c r="D11" s="10"/>
      <c r="E11" s="10"/>
      <c r="F11" s="10"/>
      <c r="G11" s="10"/>
      <c r="H11" s="10"/>
    </row>
    <row r="12" spans="1:8" x14ac:dyDescent="0.2">
      <c r="A12" s="8">
        <v>8</v>
      </c>
      <c r="B12" s="10"/>
      <c r="C12" s="10"/>
      <c r="D12" s="10"/>
      <c r="E12" s="10"/>
      <c r="F12" s="10"/>
      <c r="G12" s="10"/>
      <c r="H12" s="10"/>
    </row>
    <row r="13" spans="1:8" x14ac:dyDescent="0.2">
      <c r="A13" s="8">
        <v>9</v>
      </c>
      <c r="B13" s="10"/>
      <c r="C13" s="10"/>
      <c r="D13" s="10"/>
      <c r="E13" s="10"/>
      <c r="F13" s="10"/>
      <c r="G13" s="10"/>
      <c r="H13" s="10"/>
    </row>
    <row r="14" spans="1:8" x14ac:dyDescent="0.2">
      <c r="A14" s="8">
        <v>10</v>
      </c>
      <c r="B14" s="10"/>
      <c r="C14" s="10"/>
      <c r="D14" s="10"/>
      <c r="E14" s="10"/>
      <c r="F14" s="10"/>
      <c r="G14" s="10"/>
      <c r="H14" s="10"/>
    </row>
    <row r="15" spans="1:8" x14ac:dyDescent="0.2">
      <c r="A15" s="8">
        <v>11</v>
      </c>
      <c r="B15" s="10"/>
      <c r="C15" s="10"/>
      <c r="D15" s="10"/>
      <c r="E15" s="10"/>
      <c r="F15" s="10"/>
      <c r="G15" s="10"/>
      <c r="H15" s="10"/>
    </row>
    <row r="16" spans="1:8" x14ac:dyDescent="0.2">
      <c r="A16" s="8">
        <v>12</v>
      </c>
      <c r="B16" s="10"/>
      <c r="C16" s="10"/>
      <c r="D16" s="10"/>
      <c r="E16" s="10"/>
      <c r="F16" s="10"/>
      <c r="G16" s="10"/>
      <c r="H16" s="10"/>
    </row>
    <row r="17" spans="1:8" x14ac:dyDescent="0.2">
      <c r="A17" s="8">
        <v>13</v>
      </c>
      <c r="B17" s="10"/>
      <c r="C17" s="10"/>
      <c r="D17" s="10"/>
      <c r="E17" s="10"/>
      <c r="F17" s="10"/>
      <c r="G17" s="10"/>
      <c r="H17" s="10"/>
    </row>
    <row r="18" spans="1:8" x14ac:dyDescent="0.2">
      <c r="A18" s="8">
        <v>14</v>
      </c>
      <c r="B18" s="10"/>
      <c r="C18" s="10"/>
      <c r="D18" s="10"/>
      <c r="E18" s="10"/>
      <c r="F18" s="10"/>
      <c r="G18" s="10"/>
      <c r="H18" s="10"/>
    </row>
    <row r="19" spans="1:8" x14ac:dyDescent="0.2">
      <c r="A19" s="8">
        <v>15</v>
      </c>
      <c r="B19" s="10"/>
      <c r="C19" s="10"/>
      <c r="D19" s="10"/>
      <c r="E19" s="10"/>
      <c r="F19" s="10"/>
      <c r="G19" s="10"/>
      <c r="H19" s="10"/>
    </row>
    <row r="22" spans="1:8" x14ac:dyDescent="0.2">
      <c r="B22" s="4" t="s">
        <v>73</v>
      </c>
    </row>
    <row r="23" spans="1:8" x14ac:dyDescent="0.2">
      <c r="B23" s="9" t="s">
        <v>74</v>
      </c>
      <c r="C23" s="8">
        <f ca="1">COUNTIF($C$5:$C$59,B23)</f>
        <v>0</v>
      </c>
    </row>
    <row r="24" spans="1:8" x14ac:dyDescent="0.2">
      <c r="B24" s="9" t="s">
        <v>75</v>
      </c>
      <c r="C24" s="8">
        <f ca="1">COUNTIF($C$5:$C$59,B24)</f>
        <v>0</v>
      </c>
    </row>
    <row r="25" spans="1:8" x14ac:dyDescent="0.2">
      <c r="B25" s="9" t="s">
        <v>72</v>
      </c>
      <c r="C25" s="8">
        <f ca="1">COUNTIF($C$5:$C$59,B25)</f>
        <v>0</v>
      </c>
    </row>
    <row r="27" spans="1:8" x14ac:dyDescent="0.2">
      <c r="B27" s="4" t="s">
        <v>76</v>
      </c>
      <c r="C27" s="1"/>
      <c r="D27" s="1"/>
      <c r="E27" s="1"/>
      <c r="F27" s="1"/>
      <c r="G27" s="1"/>
      <c r="H27" s="1"/>
    </row>
    <row r="28" spans="1:8" x14ac:dyDescent="0.2">
      <c r="C28" s="1"/>
      <c r="D28" s="1"/>
      <c r="E28" s="1"/>
      <c r="F28" s="1"/>
      <c r="G28" s="1"/>
      <c r="H28" s="1"/>
    </row>
    <row r="29" spans="1:8" x14ac:dyDescent="0.2">
      <c r="C29" s="1"/>
      <c r="D29" s="1"/>
      <c r="E29" s="1"/>
      <c r="F29" s="1"/>
      <c r="G29" s="1"/>
      <c r="H29" s="1"/>
    </row>
  </sheetData>
  <mergeCells count="1">
    <mergeCell ref="C27:H29"/>
  </mergeCells>
  <dataValidations count="1">
    <dataValidation type="list" allowBlank="1" sqref="C5:C59" xr:uid="{00000000-0002-0000-0200-000000000000}">
      <formula1>"Direct,Indirect,Non-consumption"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M3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6" sqref="A6"/>
    </sheetView>
  </sheetViews>
  <sheetFormatPr baseColWidth="10" defaultColWidth="8.6640625" defaultRowHeight="15" x14ac:dyDescent="0.2"/>
  <cols>
    <col min="1" max="1" width="12" customWidth="1"/>
    <col min="2" max="2" width="11" customWidth="1"/>
    <col min="3" max="3" width="13" customWidth="1"/>
    <col min="4" max="4" width="20" customWidth="1"/>
    <col min="5" max="5" width="14" customWidth="1"/>
    <col min="6" max="6" width="9" customWidth="1"/>
    <col min="7" max="7" width="32" customWidth="1"/>
    <col min="8" max="8" width="28" customWidth="1"/>
    <col min="9" max="9" width="30" customWidth="1"/>
    <col min="10" max="10" width="32" customWidth="1"/>
    <col min="12" max="12" width="16" customWidth="1"/>
    <col min="13" max="13" width="8" customWidth="1"/>
  </cols>
  <sheetData>
    <row r="1" spans="1:13" ht="18" x14ac:dyDescent="0.2">
      <c r="A1" s="2" t="s">
        <v>77</v>
      </c>
    </row>
    <row r="2" spans="1:13" x14ac:dyDescent="0.2">
      <c r="A2" s="3" t="s">
        <v>78</v>
      </c>
    </row>
    <row r="4" spans="1:13" ht="30" customHeight="1" x14ac:dyDescent="0.2">
      <c r="A4" s="7" t="s">
        <v>79</v>
      </c>
      <c r="B4" s="7" t="s">
        <v>80</v>
      </c>
      <c r="C4" s="7" t="s">
        <v>81</v>
      </c>
      <c r="D4" s="7" t="s">
        <v>82</v>
      </c>
      <c r="E4" s="7" t="s">
        <v>83</v>
      </c>
      <c r="F4" s="7" t="s">
        <v>84</v>
      </c>
      <c r="G4" s="7" t="s">
        <v>85</v>
      </c>
      <c r="H4" s="7" t="s">
        <v>86</v>
      </c>
      <c r="I4" s="7" t="s">
        <v>87</v>
      </c>
      <c r="J4" s="7" t="s">
        <v>88</v>
      </c>
      <c r="L4" s="23" t="s">
        <v>89</v>
      </c>
    </row>
    <row r="5" spans="1:13" x14ac:dyDescent="0.2">
      <c r="A5" s="22" t="s">
        <v>90</v>
      </c>
      <c r="B5" s="24">
        <v>46297</v>
      </c>
      <c r="C5" s="22" t="s">
        <v>91</v>
      </c>
      <c r="D5" s="22" t="s">
        <v>92</v>
      </c>
      <c r="E5" s="22" t="s">
        <v>20</v>
      </c>
      <c r="F5" s="22" t="s">
        <v>93</v>
      </c>
      <c r="G5" s="22" t="s">
        <v>94</v>
      </c>
      <c r="H5" s="22" t="s">
        <v>95</v>
      </c>
      <c r="I5" s="22" t="s">
        <v>96</v>
      </c>
      <c r="J5" s="22" t="s">
        <v>97</v>
      </c>
      <c r="L5" s="9" t="s">
        <v>98</v>
      </c>
      <c r="M5" s="8">
        <f>COUNTIF(C6:C200,"Interview")</f>
        <v>0</v>
      </c>
    </row>
    <row r="6" spans="1:13" x14ac:dyDescent="0.2">
      <c r="A6" s="10"/>
      <c r="B6" s="25"/>
      <c r="C6" s="10"/>
      <c r="D6" s="10"/>
      <c r="E6" s="10"/>
      <c r="F6" s="10"/>
      <c r="G6" s="10"/>
      <c r="H6" s="10"/>
      <c r="I6" s="10"/>
      <c r="J6" s="10"/>
      <c r="L6" s="9" t="s">
        <v>99</v>
      </c>
      <c r="M6" s="8">
        <f>COUNTIF(C6:C200,"Observation")</f>
        <v>0</v>
      </c>
    </row>
    <row r="7" spans="1:13" x14ac:dyDescent="0.2">
      <c r="A7" s="10"/>
      <c r="B7" s="25"/>
      <c r="C7" s="10"/>
      <c r="D7" s="10"/>
      <c r="E7" s="10"/>
      <c r="F7" s="10"/>
      <c r="G7" s="10"/>
      <c r="H7" s="10"/>
      <c r="I7" s="10"/>
      <c r="J7" s="10"/>
      <c r="L7" s="9" t="s">
        <v>100</v>
      </c>
      <c r="M7" s="8">
        <f>COUNTIF(C6:C200,"Follow-up")</f>
        <v>0</v>
      </c>
    </row>
    <row r="8" spans="1:13" x14ac:dyDescent="0.2">
      <c r="A8" s="10"/>
      <c r="B8" s="25"/>
      <c r="C8" s="10"/>
      <c r="D8" s="10"/>
      <c r="E8" s="10"/>
      <c r="F8" s="10"/>
      <c r="G8" s="10"/>
      <c r="H8" s="10"/>
      <c r="I8" s="10"/>
      <c r="J8" s="10"/>
      <c r="L8" s="9" t="s">
        <v>101</v>
      </c>
      <c r="M8" s="8">
        <f>COUNTA(A6:A200)</f>
        <v>0</v>
      </c>
    </row>
    <row r="9" spans="1:13" x14ac:dyDescent="0.2">
      <c r="A9" s="10"/>
      <c r="B9" s="25"/>
      <c r="C9" s="10"/>
      <c r="D9" s="10"/>
      <c r="E9" s="10"/>
      <c r="F9" s="10"/>
      <c r="G9" s="10"/>
      <c r="H9" s="10"/>
      <c r="I9" s="10"/>
      <c r="J9" s="10"/>
    </row>
    <row r="10" spans="1:13" x14ac:dyDescent="0.2">
      <c r="A10" s="10"/>
      <c r="B10" s="25"/>
      <c r="C10" s="10"/>
      <c r="D10" s="10"/>
      <c r="E10" s="10"/>
      <c r="F10" s="10"/>
      <c r="G10" s="10"/>
      <c r="H10" s="10"/>
      <c r="I10" s="10"/>
      <c r="J10" s="10"/>
    </row>
    <row r="11" spans="1:13" x14ac:dyDescent="0.2">
      <c r="A11" s="10"/>
      <c r="B11" s="25"/>
      <c r="C11" s="10"/>
      <c r="D11" s="10"/>
      <c r="E11" s="10"/>
      <c r="F11" s="10"/>
      <c r="G11" s="10"/>
      <c r="H11" s="10"/>
      <c r="I11" s="10"/>
      <c r="J11" s="10"/>
    </row>
    <row r="12" spans="1:13" x14ac:dyDescent="0.2">
      <c r="A12" s="10"/>
      <c r="B12" s="25"/>
      <c r="C12" s="10"/>
      <c r="D12" s="10"/>
      <c r="E12" s="10"/>
      <c r="F12" s="10"/>
      <c r="G12" s="10"/>
      <c r="H12" s="10"/>
      <c r="I12" s="10"/>
      <c r="J12" s="10"/>
    </row>
    <row r="13" spans="1:13" x14ac:dyDescent="0.2">
      <c r="A13" s="10"/>
      <c r="B13" s="25"/>
      <c r="C13" s="10"/>
      <c r="D13" s="10"/>
      <c r="E13" s="10"/>
      <c r="F13" s="10"/>
      <c r="G13" s="10"/>
      <c r="H13" s="10"/>
      <c r="I13" s="10"/>
      <c r="J13" s="10"/>
    </row>
    <row r="14" spans="1:13" x14ac:dyDescent="0.2">
      <c r="A14" s="10"/>
      <c r="B14" s="25"/>
      <c r="C14" s="10"/>
      <c r="D14" s="10"/>
      <c r="E14" s="10"/>
      <c r="F14" s="10"/>
      <c r="G14" s="10"/>
      <c r="H14" s="10"/>
      <c r="I14" s="10"/>
      <c r="J14" s="10"/>
    </row>
    <row r="15" spans="1:13" x14ac:dyDescent="0.2">
      <c r="A15" s="10"/>
      <c r="B15" s="25"/>
      <c r="C15" s="10"/>
      <c r="D15" s="10"/>
      <c r="E15" s="10"/>
      <c r="F15" s="10"/>
      <c r="G15" s="10"/>
      <c r="H15" s="10"/>
      <c r="I15" s="10"/>
      <c r="J15" s="10"/>
    </row>
    <row r="16" spans="1:13" x14ac:dyDescent="0.2">
      <c r="A16" s="10"/>
      <c r="B16" s="25"/>
      <c r="C16" s="10"/>
      <c r="D16" s="10"/>
      <c r="E16" s="10"/>
      <c r="F16" s="10"/>
      <c r="G16" s="10"/>
      <c r="H16" s="10"/>
      <c r="I16" s="10"/>
      <c r="J16" s="10"/>
    </row>
    <row r="17" spans="1:10" x14ac:dyDescent="0.2">
      <c r="A17" s="10"/>
      <c r="B17" s="25"/>
      <c r="C17" s="10"/>
      <c r="D17" s="10"/>
      <c r="E17" s="10"/>
      <c r="F17" s="10"/>
      <c r="G17" s="10"/>
      <c r="H17" s="10"/>
      <c r="I17" s="10"/>
      <c r="J17" s="10"/>
    </row>
    <row r="18" spans="1:10" x14ac:dyDescent="0.2">
      <c r="A18" s="10"/>
      <c r="B18" s="25"/>
      <c r="C18" s="10"/>
      <c r="D18" s="10"/>
      <c r="E18" s="10"/>
      <c r="F18" s="10"/>
      <c r="G18" s="10"/>
      <c r="H18" s="10"/>
      <c r="I18" s="10"/>
      <c r="J18" s="10"/>
    </row>
    <row r="19" spans="1:10" x14ac:dyDescent="0.2">
      <c r="A19" s="10"/>
      <c r="B19" s="25"/>
      <c r="C19" s="10"/>
      <c r="D19" s="10"/>
      <c r="E19" s="10"/>
      <c r="F19" s="10"/>
      <c r="G19" s="10"/>
      <c r="H19" s="10"/>
      <c r="I19" s="10"/>
      <c r="J19" s="10"/>
    </row>
    <row r="20" spans="1:10" x14ac:dyDescent="0.2">
      <c r="A20" s="10"/>
      <c r="B20" s="25"/>
      <c r="C20" s="10"/>
      <c r="D20" s="10"/>
      <c r="E20" s="10"/>
      <c r="F20" s="10"/>
      <c r="G20" s="10"/>
      <c r="H20" s="10"/>
      <c r="I20" s="10"/>
      <c r="J20" s="10"/>
    </row>
    <row r="21" spans="1:10" x14ac:dyDescent="0.2">
      <c r="A21" s="10"/>
      <c r="B21" s="25"/>
      <c r="C21" s="10"/>
      <c r="D21" s="10"/>
      <c r="E21" s="10"/>
      <c r="F21" s="10"/>
      <c r="G21" s="10"/>
      <c r="H21" s="10"/>
      <c r="I21" s="10"/>
      <c r="J21" s="10"/>
    </row>
    <row r="22" spans="1:10" x14ac:dyDescent="0.2">
      <c r="A22" s="10"/>
      <c r="B22" s="25"/>
      <c r="C22" s="10"/>
      <c r="D22" s="10"/>
      <c r="E22" s="10"/>
      <c r="F22" s="10"/>
      <c r="G22" s="10"/>
      <c r="H22" s="10"/>
      <c r="I22" s="10"/>
      <c r="J22" s="10"/>
    </row>
    <row r="23" spans="1:10" x14ac:dyDescent="0.2">
      <c r="A23" s="10"/>
      <c r="B23" s="25"/>
      <c r="C23" s="10"/>
      <c r="D23" s="10"/>
      <c r="E23" s="10"/>
      <c r="F23" s="10"/>
      <c r="G23" s="10"/>
      <c r="H23" s="10"/>
      <c r="I23" s="10"/>
      <c r="J23" s="10"/>
    </row>
    <row r="24" spans="1:10" x14ac:dyDescent="0.2">
      <c r="A24" s="10"/>
      <c r="B24" s="25"/>
      <c r="C24" s="10"/>
      <c r="D24" s="10"/>
      <c r="E24" s="10"/>
      <c r="F24" s="10"/>
      <c r="G24" s="10"/>
      <c r="H24" s="10"/>
      <c r="I24" s="10"/>
      <c r="J24" s="10"/>
    </row>
    <row r="25" spans="1:10" x14ac:dyDescent="0.2">
      <c r="A25" s="10"/>
      <c r="B25" s="25"/>
      <c r="C25" s="10"/>
      <c r="D25" s="10"/>
      <c r="E25" s="10"/>
      <c r="F25" s="10"/>
      <c r="G25" s="10"/>
      <c r="H25" s="10"/>
      <c r="I25" s="10"/>
      <c r="J25" s="10"/>
    </row>
    <row r="26" spans="1:10" x14ac:dyDescent="0.2">
      <c r="A26" s="10"/>
      <c r="B26" s="25"/>
      <c r="C26" s="10"/>
      <c r="D26" s="10"/>
      <c r="E26" s="10"/>
      <c r="F26" s="10"/>
      <c r="G26" s="10"/>
      <c r="H26" s="10"/>
      <c r="I26" s="10"/>
      <c r="J26" s="10"/>
    </row>
    <row r="27" spans="1:10" x14ac:dyDescent="0.2">
      <c r="A27" s="10"/>
      <c r="B27" s="25"/>
      <c r="C27" s="10"/>
      <c r="D27" s="10"/>
      <c r="E27" s="10"/>
      <c r="F27" s="10"/>
      <c r="G27" s="10"/>
      <c r="H27" s="10"/>
      <c r="I27" s="10"/>
      <c r="J27" s="10"/>
    </row>
    <row r="28" spans="1:10" x14ac:dyDescent="0.2">
      <c r="A28" s="10"/>
      <c r="B28" s="25"/>
      <c r="C28" s="10"/>
      <c r="D28" s="10"/>
      <c r="E28" s="10"/>
      <c r="F28" s="10"/>
      <c r="G28" s="10"/>
      <c r="H28" s="10"/>
      <c r="I28" s="10"/>
      <c r="J28" s="10"/>
    </row>
    <row r="29" spans="1:10" x14ac:dyDescent="0.2">
      <c r="A29" s="10"/>
      <c r="B29" s="25"/>
      <c r="C29" s="10"/>
      <c r="D29" s="10"/>
      <c r="E29" s="10"/>
      <c r="F29" s="10"/>
      <c r="G29" s="10"/>
      <c r="H29" s="10"/>
      <c r="I29" s="10"/>
      <c r="J29" s="10"/>
    </row>
    <row r="30" spans="1:10" x14ac:dyDescent="0.2">
      <c r="A30" s="10"/>
      <c r="B30" s="25"/>
      <c r="C30" s="10"/>
      <c r="D30" s="10"/>
      <c r="E30" s="10"/>
      <c r="F30" s="10"/>
      <c r="G30" s="10"/>
      <c r="H30" s="10"/>
      <c r="I30" s="10"/>
      <c r="J30" s="10"/>
    </row>
    <row r="31" spans="1:10" x14ac:dyDescent="0.2">
      <c r="A31" s="10"/>
      <c r="B31" s="25"/>
      <c r="C31" s="10"/>
      <c r="D31" s="10"/>
      <c r="E31" s="10"/>
      <c r="F31" s="10"/>
      <c r="G31" s="10"/>
      <c r="H31" s="10"/>
      <c r="I31" s="10"/>
      <c r="J31" s="10"/>
    </row>
    <row r="32" spans="1:10" x14ac:dyDescent="0.2">
      <c r="A32" s="10"/>
      <c r="B32" s="25"/>
      <c r="C32" s="10"/>
      <c r="D32" s="10"/>
      <c r="E32" s="10"/>
      <c r="F32" s="10"/>
      <c r="G32" s="10"/>
      <c r="H32" s="10"/>
      <c r="I32" s="10"/>
      <c r="J32" s="10"/>
    </row>
    <row r="33" spans="1:10" x14ac:dyDescent="0.2">
      <c r="A33" s="10"/>
      <c r="B33" s="25"/>
      <c r="C33" s="10"/>
      <c r="D33" s="10"/>
      <c r="E33" s="10"/>
      <c r="F33" s="10"/>
      <c r="G33" s="10"/>
      <c r="H33" s="10"/>
      <c r="I33" s="10"/>
      <c r="J33" s="10"/>
    </row>
    <row r="34" spans="1:10" x14ac:dyDescent="0.2">
      <c r="A34" s="10"/>
      <c r="B34" s="25"/>
      <c r="C34" s="10"/>
      <c r="D34" s="10"/>
      <c r="E34" s="10"/>
      <c r="F34" s="10"/>
      <c r="G34" s="10"/>
      <c r="H34" s="10"/>
      <c r="I34" s="10"/>
      <c r="J34" s="10"/>
    </row>
    <row r="35" spans="1:10" x14ac:dyDescent="0.2">
      <c r="A35" s="10"/>
      <c r="B35" s="25"/>
      <c r="C35" s="10"/>
      <c r="D35" s="10"/>
      <c r="E35" s="10"/>
      <c r="F35" s="10"/>
      <c r="G35" s="10"/>
      <c r="H35" s="10"/>
      <c r="I35" s="10"/>
      <c r="J35" s="10"/>
    </row>
  </sheetData>
  <dataValidations count="3">
    <dataValidation type="list" allowBlank="1" sqref="C6:C200" xr:uid="{00000000-0002-0000-0300-000000000000}">
      <formula1>"Interview,Observation,Survey,Follow-up,Expert"</formula1>
      <formula2>0</formula2>
    </dataValidation>
    <dataValidation type="list" allowBlank="1" sqref="D6:D200" xr:uid="{00000000-0002-0000-0300-000001000000}">
      <formula1>"End user,Buyer / payer,Operator,Expert,Other"</formula1>
      <formula2>0</formula2>
    </dataValidation>
    <dataValidation type="list" allowBlank="1" sqref="F6:F200" xr:uid="{00000000-0002-0000-03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Tasks</vt:lpstr>
      <vt:lpstr>Budget</vt:lpstr>
      <vt:lpstr>Existing Solutions</vt:lpstr>
      <vt:lpstr>User &amp; Stakeholder Research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Tài Trần Duy</cp:lastModifiedBy>
  <cp:revision>0</cp:revision>
  <dcterms:created xsi:type="dcterms:W3CDTF">2026-09-29T15:46:30Z</dcterms:created>
  <dcterms:modified xsi:type="dcterms:W3CDTF">2026-09-29T15:52:09Z</dcterms:modified>
  <dc:language>en-US</dc:language>
</cp:coreProperties>
</file>